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dia/image10.svg" ContentType="image/svg+xml"/>
  <Override PartName="/xl/media/image4.svg" ContentType="image/sv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tabRatio="819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licer_Subscription_Type1">#N/A</definedName>
    <definedName name="Slicer_Status_do_Contrato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<sst xmlns="http://schemas.openxmlformats.org/spreadsheetml/2006/main" count="2259" uniqueCount="337">
  <si>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</si>
  <si>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</si>
  <si>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</si>
  <si>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</si>
  <si>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</si>
  <si>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</si>
  <si>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</si>
  <si>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</si>
  <si>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</si>
  <si>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</si>
  <si>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</si>
  <si>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</si>
  <si>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</si>
  <si>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</si>
  <si>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</si>
  <si>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Fim_Assinatura</t>
  </si>
  <si>
    <t>Status_do_Contrato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</si>
  <si>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</si>
  <si>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</si>
  <si>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</si>
  <si>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</si>
  <si>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</si>
  <si>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</si>
  <si>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</si>
  <si>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</si>
  <si>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Tem_Cupom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</si>
  <si>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</si>
  <si>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</si>
  <si>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</si>
  <si>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</si>
  <si>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</si>
  <si>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</si>
  <si>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</si>
  <si>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</si>
  <si>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</si>
  <si>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</si>
  <si>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</si>
  <si>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</si>
  <si>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</si>
  <si>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</si>
  <si>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</si>
  <si>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</si>
  <si>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</si>
  <si>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</si>
  <si>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</si>
  <si>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</si>
  <si>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</si>
  <si>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</si>
  <si>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</si>
  <si>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</si>
  <si>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</si>
  <si>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</si>
  <si>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</si>
  <si>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</si>
  <si>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</si>
  <si>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</si>
  <si>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</si>
  <si>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</si>
  <si>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</si>
  <si>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</si>
  <si>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</si>
  <si>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</si>
  <si>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</si>
  <si>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</si>
  <si>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</si>
  <si>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</si>
  <si>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</si>
  <si>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</si>
  <si>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</si>
  <si>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</si>
  <si>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</si>
  <si>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</si>
  <si>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</si>
  <si>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</si>
  <si>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</si>
  <si>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</si>
  <si>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</si>
  <si>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</si>
  <si>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</si>
  <si>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</si>
  <si>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</si>
  <si>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</si>
  <si>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</si>
  <si>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</si>
  <si>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</si>
  <si>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</si>
  <si>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</si>
  <si>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</si>
  <si>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</si>
  <si>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</si>
  <si>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</si>
  <si>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</si>
  <si>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</si>
  <si>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</si>
  <si>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</si>
  <si>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</si>
  <si>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</si>
  <si>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</si>
  <si>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</si>
  <si>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</si>
  <si>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</si>
  <si>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</si>
  <si>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</si>
  <si>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</si>
  <si>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</si>
  <si>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</si>
  <si>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</si>
  <si>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</si>
  <si>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</si>
  <si>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</si>
  <si>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</si>
  <si>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</si>
  <si>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</si>
  <si>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</si>
  <si>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</si>
  <si>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</si>
  <si>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</si>
  <si>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</si>
  <si>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</si>
  <si>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</si>
  <si>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</si>
  <si>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</si>
  <si>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</si>
  <si>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</si>
  <si>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</si>
  <si>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</si>
  <si>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</si>
  <si>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</si>
  <si>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</si>
  <si>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</si>
  <si>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</si>
  <si>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</si>
  <si>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</si>
  <si>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</si>
  <si>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</si>
  <si>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</si>
  <si>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</si>
  <si>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</si>
  <si>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</si>
  <si>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</si>
  <si>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</si>
  <si>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</si>
  <si>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</si>
  <si>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</si>
  <si>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</si>
  <si>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</si>
  <si>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</si>
  <si>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</si>
  <si>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</si>
  <si>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</si>
  <si>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</si>
  <si>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</si>
  <si>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</si>
  <si>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</si>
  <si>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</si>
  <si>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</si>
  <si>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</si>
  <si>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</si>
  <si>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</si>
  <si>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</si>
  <si>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</si>
  <si>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</si>
  <si>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</si>
  <si>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</si>
  <si>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</si>
  <si>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</si>
  <si>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</si>
  <si>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</si>
  <si>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</si>
  <si>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</si>
  <si>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</si>
  <si>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</si>
  <si>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</si>
  <si>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</si>
  <si>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</si>
  <si>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</si>
  <si>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</si>
  <si>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</si>
  <si>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</si>
  <si>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</si>
  <si>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</si>
  <si>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</si>
  <si>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</si>
  <si>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</si>
  <si>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</si>
  <si>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</si>
  <si>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</si>
  <si>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</si>
  <si>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</si>
  <si>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</si>
  <si>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</si>
  <si>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</si>
  <si>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</si>
  <si>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</si>
  <si>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</si>
  <si>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</si>
  <si>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</si>
  <si>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</si>
  <si>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</si>
  <si>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</si>
  <si>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</si>
  <si>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</si>
  <si>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</si>
  <si>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</si>
  <si>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</si>
  <si>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</si>
  <si>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</si>
  <si>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</si>
  <si>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</si>
  <si>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</si>
  <si>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</si>
  <si>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</si>
  <si>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</si>
  <si>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</si>
  <si>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</si>
  <si>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</si>
  <si>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</si>
  <si>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</si>
  <si>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</si>
  <si>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</si>
  <si>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</si>
  <si>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</si>
  <si>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</si>
  <si>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</si>
  <si>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</si>
  <si>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</si>
  <si>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</si>
  <si>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</si>
  <si>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</si>
  <si>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</si>
  <si>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</si>
  <si>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</si>
  <si>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</si>
  <si>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</si>
  <si>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</si>
  <si>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</si>
  <si>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</si>
  <si>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</si>
  <si>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</si>
  <si>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</si>
  <si>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</si>
  <si>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</si>
  <si>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</si>
  <si>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</si>
  <si>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</si>
  <si>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</si>
  <si>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</si>
  <si>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</si>
  <si>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</si>
  <si>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</si>
  <si>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</si>
  <si>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</si>
  <si>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</si>
  <si>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</si>
  <si>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</si>
  <si>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</si>
  <si>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</si>
  <si>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</si>
  <si>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</si>
  <si>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</si>
  <si>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</si>
  <si>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</si>
  <si>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</si>
  <si>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</si>
  <si>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</si>
  <si>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</si>
  <si>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</si>
  <si>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</si>
  <si>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</si>
  <si>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</si>
  <si>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</si>
  <si>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</si>
  <si>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</si>
  <si>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</si>
  <si>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</si>
  <si>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</si>
  <si>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</si>
  <si>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</si>
  <si>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</si>
  <si>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</si>
  <si>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</si>
  <si>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</si>
  <si>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</si>
  <si>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</si>
  <si>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</si>
  <si>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</si>
  <si>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</si>
  <si>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</si>
  <si>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</si>
  <si>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</si>
  <si>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</si>
  <si>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</si>
  <si>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</si>
  <si>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</si>
  <si>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</si>
  <si>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</si>
  <si>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</si>
  <si>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</si>
  <si>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</si>
  <si>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</si>
  <si>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</si>
  <si>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</si>
  <si>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</si>
  <si>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</si>
  <si>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</si>
  <si>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</si>
  <si>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</si>
  <si>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</si>
  <si>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</si>
  <si>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</si>
  <si>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</si>
  <si>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</si>
  <si>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</si>
  <si>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</si>
  <si>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</si>
  <si>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Perguntas de negócio:</t>
  </si>
  <si>
    <t>1 - Quantas assinaturas estão prestes a vencer?</t>
  </si>
  <si>
    <t>2 - Quantas assinaturas já venceram?</t>
  </si>
  <si>
    <t>3 - Quantas assinaturas a vencer possuem serviços empilhados e quantas não possuem?</t>
  </si>
  <si>
    <t>4 - Quantas assinaturas vencidas possuem serviços empilhados e quantas não possuem?</t>
  </si>
  <si>
    <t>5 - Quantas e quais assinaturas a vencer possuem cupom de desconto?</t>
  </si>
  <si>
    <t>6 - Quantas e quais assinaturas vencidas possuem cupom de desconto?</t>
  </si>
  <si>
    <t>1|2</t>
  </si>
  <si>
    <t>Contagem de Subscriber ID</t>
  </si>
  <si>
    <t>A vencer</t>
  </si>
  <si>
    <t>Vencido</t>
  </si>
  <si>
    <t>Total geral</t>
  </si>
  <si>
    <t>Contagem de EA Play Season Pass</t>
  </si>
  <si>
    <t>Contagem de Minecraft Season Pass</t>
  </si>
  <si>
    <t>5|6</t>
  </si>
  <si>
    <t>Contagem de Coupon Value</t>
  </si>
  <si>
    <t>Etiquetas de linha</t>
  </si>
  <si>
    <t>Soma de Total Value</t>
  </si>
  <si>
    <t>Gestão de Contratos</t>
  </si>
  <si>
    <t>Bem-vinda, Gisela!</t>
  </si>
  <si>
    <t>Total de contratos</t>
  </si>
  <si>
    <t>Vencidos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</si>
</sst>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_);[Red]\(0.00\)"/>
    <numFmt numFmtId="181" formatCode="dd/mm/yyyy;@"/>
  </numFmts>
  <fonts count="34">
    <font>
      <sz val="11"/>
      <color theme="1"/>
      <name val="Aptos Narrow"/>
      <charset val="134"/>
      <scheme val="minor"/>
    </font>
    <font>
      <sz val="11"/>
      <color rgb="FFFF0000"/>
      <name val="Aptos Narrow"/>
      <charset val="134"/>
      <scheme val="minor"/>
    </font>
    <font>
      <sz val="10"/>
      <color theme="1" tint="0.15"/>
      <name val="Aptos Narrow"/>
      <charset val="134"/>
      <scheme val="minor"/>
    </font>
    <font>
      <b/>
      <sz val="28"/>
      <color theme="9" tint="-0.25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8"/>
      <color theme="1" tint="0.5"/>
      <name val="Aptos Narrow"/>
      <charset val="134"/>
      <scheme val="minor"/>
    </font>
    <font>
      <sz val="8"/>
      <color theme="1"/>
      <name val="Aptos Narrow"/>
      <charset val="134"/>
      <scheme val="minor"/>
    </font>
    <font>
      <b/>
      <sz val="16"/>
      <color theme="0"/>
      <name val="Aptos Narrow"/>
      <charset val="134"/>
      <scheme val="minor"/>
    </font>
    <font>
      <sz val="22"/>
      <color theme="6"/>
      <name val="Aptos Narrow"/>
      <charset val="134"/>
      <scheme val="minor"/>
    </font>
    <font>
      <sz val="11"/>
      <color theme="1"/>
      <name val="Verdana"/>
      <charset val="134"/>
    </font>
    <font>
      <b/>
      <sz val="11"/>
      <color theme="1"/>
      <name val="Aptos Narrow"/>
      <charset val="134"/>
      <scheme val="minor"/>
    </font>
    <font>
      <b/>
      <sz val="11"/>
      <color theme="1"/>
      <name val="Verdana"/>
      <charset val="134"/>
    </font>
    <font>
      <b/>
      <sz val="11"/>
      <color rgb="FFFFFF00"/>
      <name val="Verdana"/>
      <charset val="134"/>
    </font>
    <font>
      <b/>
      <sz val="15"/>
      <color theme="3"/>
      <name val="Verdana"/>
      <charset val="134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2C55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0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/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2" borderId="6" applyNumberFormat="0" applyAlignment="0" applyProtection="0">
      <alignment vertical="center"/>
    </xf>
    <xf numFmtId="0" fontId="25" fillId="12" borderId="5" applyNumberFormat="0" applyAlignment="0" applyProtection="0">
      <alignment vertical="center"/>
    </xf>
    <xf numFmtId="0" fontId="26" fillId="13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77" fontId="8" fillId="3" borderId="0" xfId="0" applyNumberFormat="1" applyFont="1" applyFill="1" applyAlignment="1">
      <alignment horizontal="center" vertical="center"/>
    </xf>
    <xf numFmtId="0" fontId="9" fillId="0" borderId="0" xfId="0" applyFont="1"/>
    <xf numFmtId="0" fontId="10" fillId="4" borderId="0" xfId="0" applyNumberFormat="1" applyFont="1" applyFill="1"/>
    <xf numFmtId="0" fontId="0" fillId="0" borderId="0" xfId="0" applyNumberFormat="1"/>
    <xf numFmtId="0" fontId="10" fillId="4" borderId="0" xfId="0" applyFont="1" applyFill="1" applyAlignment="1">
      <alignment horizontal="left"/>
    </xf>
    <xf numFmtId="177" fontId="0" fillId="0" borderId="0" xfId="0" applyNumberFormat="1"/>
    <xf numFmtId="0" fontId="10" fillId="4" borderId="0" xfId="0" applyFont="1" applyFill="1"/>
    <xf numFmtId="0" fontId="9" fillId="0" borderId="0" xfId="0" applyFont="1" applyAlignment="1">
      <alignment horizontal="center" vertical="center"/>
    </xf>
    <xf numFmtId="180" fontId="9" fillId="0" borderId="0" xfId="0" applyNumberFormat="1" applyFont="1"/>
    <xf numFmtId="0" fontId="9" fillId="0" borderId="0" xfId="0" applyNumberFormat="1" applyFont="1"/>
    <xf numFmtId="49" fontId="9" fillId="0" borderId="0" xfId="0" applyNumberFormat="1" applyFont="1"/>
    <xf numFmtId="0" fontId="9" fillId="0" borderId="0" xfId="0" applyFont="1" applyAlignment="1">
      <alignment horizontal="left"/>
    </xf>
    <xf numFmtId="0" fontId="11" fillId="0" borderId="0" xfId="0" applyFont="1" applyAlignment="1">
      <alignment horizontal="center" vertical="center" wrapText="1"/>
    </xf>
    <xf numFmtId="180" fontId="12" fillId="0" borderId="0" xfId="0" applyNumberFormat="1" applyFont="1" applyAlignment="1">
      <alignment horizontal="center" vertical="center" wrapText="1"/>
    </xf>
    <xf numFmtId="0" fontId="12" fillId="0" borderId="0" xfId="0" applyNumberFormat="1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58" fontId="9" fillId="0" borderId="0" xfId="0" applyNumberFormat="1" applyFont="1" applyAlignment="1">
      <alignment horizontal="center" vertical="center" wrapText="1"/>
    </xf>
    <xf numFmtId="181" fontId="9" fillId="0" borderId="0" xfId="0" applyNumberFormat="1" applyFont="1" applyAlignment="1">
      <alignment horizontal="center" vertical="center" wrapText="1"/>
    </xf>
    <xf numFmtId="177" fontId="9" fillId="0" borderId="0" xfId="2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177" fontId="9" fillId="0" borderId="0" xfId="2" applyFont="1" applyAlignment="1">
      <alignment horizontal="left" vertical="center" wrapText="1"/>
    </xf>
    <xf numFmtId="58" fontId="9" fillId="0" borderId="0" xfId="0" applyNumberFormat="1" applyFont="1" applyAlignment="1">
      <alignment horizontal="center" vertical="center"/>
    </xf>
    <xf numFmtId="181" fontId="9" fillId="0" borderId="0" xfId="0" applyNumberFormat="1" applyFont="1" applyAlignment="1">
      <alignment horizontal="center" vertical="center"/>
    </xf>
    <xf numFmtId="0" fontId="13" fillId="0" borderId="1" xfId="12" applyFont="1"/>
    <xf numFmtId="0" fontId="9" fillId="5" borderId="0" xfId="0" applyFont="1" applyFill="1"/>
    <xf numFmtId="0" fontId="9" fillId="6" borderId="0" xfId="0" applyFont="1" applyFill="1"/>
    <xf numFmtId="0" fontId="9" fillId="2" borderId="0" xfId="0" applyFont="1" applyFill="1"/>
    <xf numFmtId="0" fontId="9" fillId="7" borderId="0" xfId="0" applyFont="1" applyFill="1"/>
    <xf numFmtId="0" fontId="9" fillId="8" borderId="0" xfId="0" applyFont="1" applyFill="1"/>
    <xf numFmtId="0" fontId="9" fillId="9" borderId="0" xfId="0" applyFont="1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ont>
        <name val="Verdana"/>
        <scheme val="none"/>
      </font>
      <alignment horizontal="center" vertical="center" wrapText="1"/>
    </dxf>
    <dxf>
      <font>
        <name val="Verdana"/>
        <scheme val="none"/>
      </font>
      <alignment horizontal="center" vertical="center" wrapText="1"/>
    </dxf>
    <dxf>
      <font>
        <name val="Verdana"/>
        <scheme val="none"/>
      </font>
      <alignment horizontal="center" vertical="center" wrapText="1"/>
    </dxf>
    <dxf>
      <font>
        <name val="Verdana"/>
        <scheme val="none"/>
      </font>
      <alignment horizontal="center" vertical="center" wrapText="1"/>
    </dxf>
    <dxf>
      <numFmt numFmtId="181" formatCode="dd/mm/yyyy;@"/>
    </dxf>
    <dxf>
      <numFmt numFmtId="58" formatCode="dd/mm/yyyy"/>
    </dxf>
    <dxf>
      <font>
        <name val="Verdana"/>
        <scheme val="none"/>
      </font>
      <alignment horizontal="center" vertical="center" wrapText="1"/>
    </dxf>
    <dxf>
      <font>
        <name val="Verdana"/>
        <scheme val="none"/>
      </font>
      <alignment horizontal="center" vertical="center" wrapText="1"/>
    </dxf>
    <dxf>
      <font>
        <name val="Verdana"/>
        <scheme val="none"/>
      </font>
      <alignment horizontal="center" vertical="center" wrapText="1"/>
    </dxf>
    <dxf>
      <font>
        <name val="Verdana"/>
        <scheme val="none"/>
      </font>
      <numFmt numFmtId="49" formatCode="@"/>
      <alignment horizontal="center" vertical="center" wrapText="1"/>
    </dxf>
    <dxf>
      <font>
        <name val="Verdana"/>
        <scheme val="none"/>
      </font>
      <alignment horizontal="center" vertical="center" wrapText="1"/>
    </dxf>
    <dxf>
      <font>
        <name val="Verdana"/>
        <scheme val="none"/>
      </font>
      <numFmt numFmtId="49" formatCode="@"/>
      <alignment horizontal="center" vertical="center" wrapText="1"/>
    </dxf>
    <dxf>
      <font>
        <name val="Verdana"/>
        <scheme val="none"/>
      </font>
      <alignment horizontal="left" vertical="center" wrapText="1"/>
    </dxf>
    <dxf>
      <font>
        <name val="Verdana"/>
        <scheme val="none"/>
      </font>
      <alignment horizontal="left" vertical="center" wrapText="1"/>
    </dxf>
    <dxf>
      <font>
        <name val="Verdana"/>
        <scheme val="none"/>
      </font>
      <alignment horizontal="center" vertical="center" wrapText="1"/>
    </dxf>
    <dxf>
      <font>
        <name val="Segoe UI"/>
        <scheme val="none"/>
        <b val="1"/>
        <i val="0"/>
        <u val="none"/>
        <sz val="10"/>
        <color theme="1"/>
      </font>
      <border>
        <bottom style="thin">
          <color theme="6"/>
        </bottom>
      </border>
    </dxf>
    <dxf>
      <font>
        <color theme="1"/>
      </font>
      <fill>
        <patternFill patternType="solid">
          <bgColor rgb="FF22C55E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Xbox" pivot="0" table="0" count="10" xr9:uid="{7D0C7D27-58C0-49EA-BF69-3B4C5AE18151}">
      <tableStyleElement type="wholeTable" dxfId="16"/>
      <tableStyleElement type="headerRow" dxfId="15"/>
    </tableStyle>
  </tableStyles>
  <colors>
    <mruColors>
      <color rgb="00EDEDED"/>
      <color rgb="00F7F8FC"/>
      <color rgb="009BC848"/>
      <color rgb="00E70011"/>
      <color rgb="00E8E6E9"/>
      <color rgb="00489629"/>
      <color rgb="002AE6B1"/>
      <color rgb="00000000"/>
      <color rgb="005BF6A8"/>
      <color rgb="0022C55E"/>
    </mruColors>
  </colors>
  <extLst>
    <ext xmlns:x14="http://schemas.microsoft.com/office/spreadsheetml/2009/9/main" uri="{46F421CA-312F-682f-3DD2-61675219B42D}">
      <x14:dxfs count="8">
        <dxf>
          <font>
            <name val="Microsoft YaHei"/>
            <scheme val="none"/>
            <b val="0"/>
            <i val="0"/>
            <u val="none"/>
            <sz val="10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name val="Microsoft YaHei UI"/>
            <scheme val="none"/>
            <b val="0"/>
            <i val="0"/>
            <u val="none"/>
            <sz val="10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name val="Microsoft YaHei"/>
            <scheme val="none"/>
            <b val="0"/>
            <i val="0"/>
            <u val="none"/>
            <sz val="10"/>
            <color theme="6" tint="-0.25"/>
          </font>
          <fill>
            <patternFill patternType="solid">
              <fgColor theme="6" tint="0.599993896298105"/>
              <bgColor theme="6" tint="0.599993896298105"/>
            </patternFill>
          </fill>
          <border>
            <left style="thin">
              <color theme="6" tint="0.599993896298105"/>
            </left>
            <right style="thin">
              <color theme="6" tint="0.599993896298105"/>
            </right>
            <top style="thin">
              <color theme="6" tint="0.599993896298105"/>
            </top>
            <bottom style="thin">
              <color theme="6" tint="0.599993896298105"/>
            </bottom>
          </border>
        </dxf>
        <dxf>
          <font>
            <name val="Microsoft YaHei"/>
            <scheme val="none"/>
            <b val="0"/>
            <i val="0"/>
            <u val="none"/>
            <sz val="10"/>
            <color theme="1"/>
          </font>
          <fill>
            <patternFill patternType="solid">
              <bgColor rgb="FF5BF6A8"/>
            </patternFill>
          </fill>
          <border>
            <left style="thin">
              <color theme="6"/>
            </left>
            <right style="thin">
              <color theme="6"/>
            </right>
            <top style="thin">
              <color theme="6"/>
            </top>
            <bottom style="thin">
              <color theme="6"/>
            </bottom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</border>
        </dxf>
      </x14:dxfs>
    </ext>
    <ext xmlns:x14="http://schemas.microsoft.com/office/spreadsheetml/2009/9/main" uri="{EB79DEF2-80B8-43e5-95BD-54CBDDF9020C}">
      <x14:slicerStyles defaultSlicerStyle="Xbox">
        <x14:slicerStyle name="Xbox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[DesafioDio_Dashboard_Vendas BOX.xlsx]C̳álculos!Tabela 
Dinâmica5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pt-BR" altLang="zh-CN" sz="1000" b="1">
                <a:solidFill>
                  <a:schemeClr val="tx1">
                    <a:lumMod val="75000"/>
                    <a:lumOff val="25000"/>
                  </a:schemeClr>
                </a:solidFill>
              </a:rPr>
              <a:t>Clientes com cupom de Desconto?</a:t>
            </a:r>
            <a:endParaRPr lang="pt-BR" altLang="zh-CN" sz="1000" b="1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layout>
        <c:manualLayout>
          <c:xMode val="edge"/>
          <c:yMode val="edge"/>
          <c:x val="0.210789087936583"/>
          <c:y val="0.0359860711555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C̳álculos!$C$43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5BF6A8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C̳álculos!$B$44:$B$46</c:f>
              <c:strCache>
                <c:ptCount val="2"/>
                <c:pt idx="0" c:formatCode="General">
                  <c:v>Yes</c:v>
                </c:pt>
                <c:pt idx="1" c:formatCode="General">
                  <c:v>No</c:v>
                </c:pt>
              </c:strCache>
            </c:strRef>
          </c:cat>
          <c:val>
            <c:numRef>
              <c:f>C̳álculos!$C$44:$C$46</c:f>
              <c:numCache>
                <c:formatCode>General</c:formatCode>
                <c:ptCount val="2"/>
                <c:pt idx="0">
                  <c:v>260</c:v>
                </c:pt>
                <c:pt idx="1">
                  <c:v>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fdcc56-1cd1-434c-a6bd-05091ba6a276}"/>
      </c:ext>
    </c:extLst>
  </c:chart>
  <c:spPr>
    <a:solidFill>
      <a:sysClr val="window" lastClr="FFFFFF">
        <a:lumMod val="95000"/>
      </a:sys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[DesafioDio_Dashboard_Vendas BOX.xlsx]C̳álculos!Tabela 
Dinâmica6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pt-BR" altLang="zh-CN" sz="1000" b="1"/>
              <a:t>Clientes com contratos auto-renováveis? </a:t>
            </a:r>
            <a:endParaRPr lang="pt-BR" altLang="zh-CN" sz="10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C̳álculos!$C$20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5BF6A8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C̳álculos!$B$21:$B$23</c:f>
              <c:strCache>
                <c:ptCount val="2"/>
                <c:pt idx="0" c:formatCode="General">
                  <c:v>No</c:v>
                </c:pt>
                <c:pt idx="1" c:formatCode="General">
                  <c:v>Yes</c:v>
                </c:pt>
              </c:strCache>
            </c:strRef>
          </c:cat>
          <c:val>
            <c:numRef>
              <c:f>C̳álculos!$C$21:$C$23</c:f>
              <c:numCache>
                <c:formatCode>General</c:formatCode>
                <c:ptCount val="2"/>
                <c:pt idx="0">
                  <c:v>162</c:v>
                </c:pt>
                <c:pt idx="1">
                  <c:v>153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0ab8ef-4d96-4b57-839f-ca13c341bc10}"/>
      </c:ext>
    </c:extLst>
  </c:chart>
  <c:spPr>
    <a:solidFill>
      <a:sysClr val="window" lastClr="FFFFFF">
        <a:lumMod val="95000"/>
      </a:sys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[DesafioDio_Dashboard_Vendas BOX.xlsx]C̳álculos!Tabela 
Dinâmica2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pt-BR" altLang="zh-CN" sz="1000" b="1"/>
              <a:t>Clientes com EA Play (serviço empilhado)</a:t>
            </a:r>
            <a:endParaRPr lang="pt-BR" altLang="zh-CN" sz="10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C̳álculos!$C$29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ysClr val="windowText" lastClr="000000">
                  <a:lumMod val="50000"/>
                  <a:lumOff val="50000"/>
                </a:sysClr>
              </a:solidFill>
              <a:ln>
                <a:solidFill>
                  <a:sysClr val="window" lastClr="FFFFFF"/>
                </a:soli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solidFill>
                  <a:sysClr val="window" lastClr="FFFFFF"/>
                </a:soli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C̳álculos!$B$30:$B$32</c:f>
              <c:strCache>
                <c:ptCount val="2"/>
                <c:pt idx="0" c:formatCode="General">
                  <c:v>No</c:v>
                </c:pt>
                <c:pt idx="1" c:formatCode="General">
                  <c:v>Yes</c:v>
                </c:pt>
              </c:strCache>
            </c:strRef>
          </c:cat>
          <c:val>
            <c:numRef>
              <c:f>C̳álculos!$C$30:$C$32</c:f>
              <c:numCache>
                <c:formatCode>General</c:formatCode>
                <c:ptCount val="2"/>
                <c:pt idx="0">
                  <c:v>210</c:v>
                </c:pt>
                <c:pt idx="1">
                  <c:v>105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37696519"/>
        <c:axId val="486759438"/>
      </c:barChart>
      <c:catAx>
        <c:axId val="937696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486759438"/>
        <c:crosses val="autoZero"/>
        <c:auto val="1"/>
        <c:lblAlgn val="ctr"/>
        <c:lblOffset val="100"/>
        <c:noMultiLvlLbl val="0"/>
      </c:catAx>
      <c:valAx>
        <c:axId val="48675943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8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37696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6393b0c-9609-4e25-9398-725a02767ee1}"/>
      </c:ext>
    </c:extLst>
  </c:chart>
  <c:spPr>
    <a:solidFill>
      <a:sysClr val="window" lastClr="FFFFFF">
        <a:lumMod val="95000"/>
      </a:sys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sz="80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[DesafioDio_Dashboard_Vendas BOX.xlsx]C̳álculos!Tabela 
Dinâmica4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pt-BR" altLang="zh-CN" sz="1000" b="1"/>
              <a:t>Clientes com Minecraft (serviço empilhado)</a:t>
            </a:r>
            <a:endParaRPr lang="pt-BR" altLang="zh-CN" sz="10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ysClr val="windowText" lastClr="000000">
                <a:lumMod val="50000"/>
                <a:lumOff val="50000"/>
              </a:sysClr>
            </a:solidFill>
            <a:ln>
              <a:solidFill>
                <a:sysClr val="window" lastClr="FFFFFF"/>
              </a:soli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5BF6A8">
                  <a:alpha val="97000"/>
                </a:srgbClr>
              </a:solidFill>
              <a:ln w="0">
                <a:solidFill>
                  <a:sysClr val="window" lastClr="FFFFFF"/>
                </a:soli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  <a:sp3d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C̳álculos!$B$37:$B$39</c:f>
              <c:strCache>
                <c:ptCount val="2"/>
                <c:pt idx="0" c:formatCode="General">
                  <c:v>No</c:v>
                </c:pt>
                <c:pt idx="1" c:formatCode="General">
                  <c:v>Yes</c:v>
                </c:pt>
              </c:strCache>
            </c:strRef>
          </c:cat>
          <c:val>
            <c:numRef>
              <c:f>C̳álculos!$C$37:$C$39</c:f>
              <c:numCache>
                <c:formatCode>General</c:formatCode>
                <c:ptCount val="2"/>
                <c:pt idx="0">
                  <c:v>114</c:v>
                </c:pt>
                <c:pt idx="1">
                  <c:v>201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04870155"/>
        <c:axId val="754964407"/>
      </c:barChart>
      <c:catAx>
        <c:axId val="6048701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54964407"/>
        <c:crosses val="autoZero"/>
        <c:auto val="1"/>
        <c:lblAlgn val="ctr"/>
        <c:lblOffset val="100"/>
        <c:noMultiLvlLbl val="0"/>
      </c:catAx>
      <c:valAx>
        <c:axId val="7549644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048701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d40fec-9cfa-45af-b118-28d9efb3fc73}"/>
      </c:ext>
    </c:extLst>
  </c:chart>
  <c:spPr>
    <a:solidFill>
      <a:sysClr val="window" lastClr="FFFFFF">
        <a:lumMod val="95000"/>
      </a:sysClr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png"/><Relationship Id="rId5" Type="http://schemas.openxmlformats.org/officeDocument/2006/relationships/image" Target="../media/image5.png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104775</xdr:rowOff>
    </xdr:to>
    <xdr:sp>
      <xdr:nvSpPr>
        <xdr:cNvPr id="1025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7129780" y="1000125"/>
          <a:ext cx="3048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104775</xdr:rowOff>
    </xdr:to>
    <xdr:sp>
      <xdr:nvSpPr>
        <xdr:cNvPr id="1026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8501380" y="1000125"/>
          <a:ext cx="3048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14</xdr:row>
      <xdr:rowOff>171450</xdr:rowOff>
    </xdr:to>
    <xdr:pic>
      <xdr:nvPicPr>
        <xdr:cNvPr id="3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4240" y="2490470"/>
          <a:ext cx="1653540" cy="405130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69723</xdr:rowOff>
    </xdr:to>
    <xdr:pic>
      <xdr:nvPicPr>
        <xdr:cNvPr id="5" name="Imagem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952750"/>
          <a:ext cx="3267075" cy="926465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57150</xdr:rowOff>
    </xdr:to>
    <xdr:pic>
      <xdr:nvPicPr>
        <xdr:cNvPr id="7" name="Gráfico 6" descr="Lupa com preenchimento sólido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710805" y="2562225"/>
          <a:ext cx="314325" cy="21907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>
      <xdr:nvSpPr>
        <xdr:cNvPr id="9" name="Elipse 8"/>
        <xdr:cNvSpPr/>
      </xdr:nvSpPr>
      <xdr:spPr>
        <a:xfrm>
          <a:off x="5834380" y="2486025"/>
          <a:ext cx="771525" cy="657225"/>
        </a:xfrm>
        <a:prstGeom prst="ellipse">
          <a:avLst/>
        </a:prstGeom>
        <a:blipFill>
          <a:blip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>
      <xdr:nvSpPr>
        <xdr:cNvPr id="10" name="Elipse 9"/>
        <xdr:cNvSpPr/>
      </xdr:nvSpPr>
      <xdr:spPr>
        <a:xfrm>
          <a:off x="6729730" y="2495550"/>
          <a:ext cx="771525" cy="657225"/>
        </a:xfrm>
        <a:prstGeom prst="ellipse">
          <a:avLst/>
        </a:prstGeom>
        <a:blipFill>
          <a:blip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9525</xdr:rowOff>
    </xdr:to>
    <xdr:pic>
      <xdr:nvPicPr>
        <xdr:cNvPr id="12" name="Imagem 1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4171950"/>
          <a:ext cx="1371600" cy="1095375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26</xdr:row>
      <xdr:rowOff>38099</xdr:rowOff>
    </xdr:from>
    <xdr:to>
      <xdr:col>4</xdr:col>
      <xdr:colOff>168351</xdr:colOff>
      <xdr:row>29</xdr:row>
      <xdr:rowOff>171450</xdr:rowOff>
    </xdr:to>
    <xdr:grpSp>
      <xdr:nvGrpSpPr>
        <xdr:cNvPr id="17" name="Agrupar 16"/>
        <xdr:cNvGrpSpPr/>
      </xdr:nvGrpSpPr>
      <xdr:grpSpPr>
        <a:xfrm>
          <a:off x="1133475" y="4933315"/>
          <a:ext cx="1778000" cy="676910"/>
          <a:chOff x="3495675" y="5400674"/>
          <a:chExt cx="1549476" cy="752476"/>
        </a:xfrm>
      </xdr:grpSpPr>
      <xdr:pic>
        <xdr:nvPicPr>
          <xdr:cNvPr id="16" name="Imagem 15"/>
          <xdr:cNvPicPr>
            <a:picLocks noChangeAspect="1"/>
          </xdr:cNvPicPr>
        </xdr:nvPicPr>
        <xdr:blipFill>
          <a:blip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/>
          <xdr:cNvPicPr>
            <a:picLocks noChangeAspect="1"/>
          </xdr:cNvPicPr>
        </xdr:nvPicPr>
        <xdr:blipFill>
          <a:blip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6</xdr:row>
      <xdr:rowOff>95249</xdr:rowOff>
    </xdr:to>
    <xdr:sp>
      <xdr:nvSpPr>
        <xdr:cNvPr id="3073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19812635" y="1381125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p>
          <a:endParaRPr lang="pt-BR" altLang="en-US"/>
        </a:p>
      </xdr:txBody>
    </xdr:sp>
    <xdr:clientData/>
  </xdr:twoCellAnchor>
  <xdr:twoCellAnchor editAs="oneCell">
    <xdr:from>
      <xdr:col>17</xdr:col>
      <xdr:colOff>0</xdr:colOff>
      <xdr:row>5</xdr:row>
      <xdr:rowOff>0</xdr:rowOff>
    </xdr:from>
    <xdr:to>
      <xdr:col>17</xdr:col>
      <xdr:colOff>304800</xdr:colOff>
      <xdr:row>6</xdr:row>
      <xdr:rowOff>95249</xdr:rowOff>
    </xdr:to>
    <xdr:sp>
      <xdr:nvSpPr>
        <xdr:cNvPr id="3074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21461095" y="1381125"/>
          <a:ext cx="304800" cy="304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104775</xdr:rowOff>
    </xdr:to>
    <xdr:sp>
      <xdr:nvSpPr>
        <xdr:cNvPr id="2049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13315950" y="904875"/>
          <a:ext cx="3048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104775</xdr:rowOff>
    </xdr:to>
    <xdr:sp>
      <xdr:nvSpPr>
        <xdr:cNvPr id="2050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15621000" y="904875"/>
          <a:ext cx="3048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125730</xdr:colOff>
      <xdr:row>12</xdr:row>
      <xdr:rowOff>22860</xdr:rowOff>
    </xdr:from>
    <xdr:to>
      <xdr:col>0</xdr:col>
      <xdr:colOff>2065020</xdr:colOff>
      <xdr:row>19</xdr:row>
      <xdr:rowOff>8890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Subscription Typ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730" y="2546985"/>
              <a:ext cx="1939290" cy="12528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942340</xdr:colOff>
      <xdr:row>6</xdr:row>
      <xdr:rowOff>32385</xdr:rowOff>
    </xdr:from>
    <xdr:to>
      <xdr:col>9</xdr:col>
      <xdr:colOff>633730</xdr:colOff>
      <xdr:row>20</xdr:row>
      <xdr:rowOff>22225</xdr:rowOff>
    </xdr:to>
    <xdr:graphicFrame>
      <xdr:nvGraphicFramePr>
        <xdr:cNvPr id="2" name="Gráfico 1" descr="7b0a202020202263686172745265734964223a20223230343735393537220a7d0a"/>
        <xdr:cNvGraphicFramePr/>
      </xdr:nvGraphicFramePr>
      <xdr:xfrm>
        <a:off x="6295390" y="1470660"/>
        <a:ext cx="3520440" cy="2523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104775</xdr:colOff>
      <xdr:row>5</xdr:row>
      <xdr:rowOff>72390</xdr:rowOff>
    </xdr:from>
    <xdr:to>
      <xdr:col>0</xdr:col>
      <xdr:colOff>2085975</xdr:colOff>
      <xdr:row>10</xdr:row>
      <xdr:rowOff>172085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Status_do_Contra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_do_Contra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1329690"/>
              <a:ext cx="1981200" cy="1004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oneCellAnchor>
    <xdr:from>
      <xdr:col>2</xdr:col>
      <xdr:colOff>10795</xdr:colOff>
      <xdr:row>0</xdr:row>
      <xdr:rowOff>9525</xdr:rowOff>
    </xdr:from>
    <xdr:ext cx="8561705" cy="824230"/>
    <xdr:sp>
      <xdr:nvSpPr>
        <xdr:cNvPr id="7" name="Retângulo 6"/>
        <xdr:cNvSpPr/>
      </xdr:nvSpPr>
      <xdr:spPr>
        <a:xfrm>
          <a:off x="2411095" y="9525"/>
          <a:ext cx="8561705" cy="8242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p>
          <a:pPr algn="ctr"/>
          <a:endParaRPr lang="pt-BR" altLang="en-US" sz="4400" b="1">
            <a:ln w="12700" cmpd="sng">
              <a:solidFill>
                <a:schemeClr val="accent6">
                  <a:lumMod val="50000"/>
                </a:schemeClr>
              </a:solidFill>
              <a:prstDash val="solid"/>
            </a:ln>
            <a:solidFill>
              <a:schemeClr val="accent6"/>
            </a:solidFill>
            <a:effectLst/>
          </a:endParaRPr>
        </a:p>
      </xdr:txBody>
    </xdr:sp>
    <xdr:clientData/>
  </xdr:oneCellAnchor>
  <xdr:twoCellAnchor>
    <xdr:from>
      <xdr:col>2</xdr:col>
      <xdr:colOff>0</xdr:colOff>
      <xdr:row>2</xdr:row>
      <xdr:rowOff>179070</xdr:rowOff>
    </xdr:from>
    <xdr:to>
      <xdr:col>4</xdr:col>
      <xdr:colOff>19685</xdr:colOff>
      <xdr:row>5</xdr:row>
      <xdr:rowOff>19050</xdr:rowOff>
    </xdr:to>
    <xdr:sp>
      <xdr:nvSpPr>
        <xdr:cNvPr id="18" name="Retângulo arredondado 17"/>
        <xdr:cNvSpPr/>
      </xdr:nvSpPr>
      <xdr:spPr>
        <a:xfrm>
          <a:off x="2400300" y="893445"/>
          <a:ext cx="2734310" cy="382905"/>
        </a:xfrm>
        <a:prstGeom prst="roundRect">
          <a:avLst/>
        </a:prstGeom>
        <a:noFill/>
        <a:ln w="28575" cmpd="sng">
          <a:solidFill>
            <a:schemeClr val="bg1">
              <a:lumMod val="95000"/>
            </a:schemeClr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pt-BR" altLang="en-US" sz="1100"/>
        </a:p>
      </xdr:txBody>
    </xdr:sp>
    <xdr:clientData/>
  </xdr:twoCellAnchor>
  <xdr:twoCellAnchor>
    <xdr:from>
      <xdr:col>3</xdr:col>
      <xdr:colOff>124460</xdr:colOff>
      <xdr:row>2</xdr:row>
      <xdr:rowOff>153670</xdr:rowOff>
    </xdr:from>
    <xdr:to>
      <xdr:col>3</xdr:col>
      <xdr:colOff>128270</xdr:colOff>
      <xdr:row>5</xdr:row>
      <xdr:rowOff>9525</xdr:rowOff>
    </xdr:to>
    <xdr:cxnSp>
      <xdr:nvCxnSpPr>
        <xdr:cNvPr id="19" name="Conector Reto 18"/>
        <xdr:cNvCxnSpPr/>
      </xdr:nvCxnSpPr>
      <xdr:spPr>
        <a:xfrm>
          <a:off x="4334510" y="868045"/>
          <a:ext cx="3810" cy="39878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</xdr:row>
      <xdr:rowOff>177800</xdr:rowOff>
    </xdr:from>
    <xdr:to>
      <xdr:col>7</xdr:col>
      <xdr:colOff>15240</xdr:colOff>
      <xdr:row>5</xdr:row>
      <xdr:rowOff>17780</xdr:rowOff>
    </xdr:to>
    <xdr:sp>
      <xdr:nvSpPr>
        <xdr:cNvPr id="20" name="Retângulo arredondado 19"/>
        <xdr:cNvSpPr/>
      </xdr:nvSpPr>
      <xdr:spPr>
        <a:xfrm>
          <a:off x="5353050" y="892175"/>
          <a:ext cx="2263140" cy="382905"/>
        </a:xfrm>
        <a:prstGeom prst="roundRect">
          <a:avLst/>
        </a:prstGeom>
        <a:noFill/>
        <a:ln w="28575" cmpd="sng">
          <a:solidFill>
            <a:schemeClr val="bg1">
              <a:lumMod val="95000"/>
            </a:schemeClr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altLang="en-US" sz="1100"/>
        </a:p>
      </xdr:txBody>
    </xdr:sp>
    <xdr:clientData/>
  </xdr:twoCellAnchor>
  <xdr:twoCellAnchor>
    <xdr:from>
      <xdr:col>6</xdr:col>
      <xdr:colOff>50800</xdr:colOff>
      <xdr:row>2</xdr:row>
      <xdr:rowOff>170180</xdr:rowOff>
    </xdr:from>
    <xdr:to>
      <xdr:col>6</xdr:col>
      <xdr:colOff>50800</xdr:colOff>
      <xdr:row>5</xdr:row>
      <xdr:rowOff>15240</xdr:rowOff>
    </xdr:to>
    <xdr:cxnSp>
      <xdr:nvCxnSpPr>
        <xdr:cNvPr id="21" name="Conector Reto 20"/>
        <xdr:cNvCxnSpPr/>
      </xdr:nvCxnSpPr>
      <xdr:spPr>
        <a:xfrm>
          <a:off x="6689725" y="884555"/>
          <a:ext cx="0" cy="387985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</xdr:row>
      <xdr:rowOff>0</xdr:rowOff>
    </xdr:from>
    <xdr:to>
      <xdr:col>10</xdr:col>
      <xdr:colOff>23495</xdr:colOff>
      <xdr:row>5</xdr:row>
      <xdr:rowOff>11430</xdr:rowOff>
    </xdr:to>
    <xdr:sp>
      <xdr:nvSpPr>
        <xdr:cNvPr id="22" name="Retângulo arredondado 21"/>
        <xdr:cNvSpPr/>
      </xdr:nvSpPr>
      <xdr:spPr>
        <a:xfrm>
          <a:off x="7839075" y="895350"/>
          <a:ext cx="2271395" cy="373380"/>
        </a:xfrm>
        <a:prstGeom prst="roundRect">
          <a:avLst/>
        </a:prstGeom>
        <a:noFill/>
        <a:ln w="28575" cmpd="sng">
          <a:solidFill>
            <a:schemeClr val="bg1">
              <a:lumMod val="95000"/>
            </a:schemeClr>
          </a:solidFill>
          <a:prstDash val="solid"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altLang="en-US" sz="1100"/>
        </a:p>
      </xdr:txBody>
    </xdr:sp>
    <xdr:clientData/>
  </xdr:twoCellAnchor>
  <xdr:twoCellAnchor>
    <xdr:from>
      <xdr:col>9</xdr:col>
      <xdr:colOff>5080</xdr:colOff>
      <xdr:row>3</xdr:row>
      <xdr:rowOff>0</xdr:rowOff>
    </xdr:from>
    <xdr:to>
      <xdr:col>9</xdr:col>
      <xdr:colOff>5715</xdr:colOff>
      <xdr:row>5</xdr:row>
      <xdr:rowOff>15240</xdr:rowOff>
    </xdr:to>
    <xdr:cxnSp>
      <xdr:nvCxnSpPr>
        <xdr:cNvPr id="23" name="Conector Reto 22"/>
        <xdr:cNvCxnSpPr/>
      </xdr:nvCxnSpPr>
      <xdr:spPr>
        <a:xfrm>
          <a:off x="9187180" y="895350"/>
          <a:ext cx="635" cy="37719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34290</xdr:colOff>
      <xdr:row>6</xdr:row>
      <xdr:rowOff>25400</xdr:rowOff>
    </xdr:from>
    <xdr:to>
      <xdr:col>5</xdr:col>
      <xdr:colOff>599440</xdr:colOff>
      <xdr:row>20</xdr:row>
      <xdr:rowOff>15240</xdr:rowOff>
    </xdr:to>
    <xdr:graphicFrame>
      <xdr:nvGraphicFramePr>
        <xdr:cNvPr id="25" name="Gráfico 24" descr="7b0a202020202263686172745265734964223a20223230343735393537220a7d0a"/>
        <xdr:cNvGraphicFramePr/>
      </xdr:nvGraphicFramePr>
      <xdr:xfrm>
        <a:off x="2434590" y="1463675"/>
        <a:ext cx="3517900" cy="2523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438150</xdr:colOff>
      <xdr:row>0</xdr:row>
      <xdr:rowOff>115570</xdr:rowOff>
    </xdr:from>
    <xdr:to>
      <xdr:col>9</xdr:col>
      <xdr:colOff>791210</xdr:colOff>
      <xdr:row>0</xdr:row>
      <xdr:rowOff>467995</xdr:rowOff>
    </xdr:to>
    <xdr:sp>
      <xdr:nvSpPr>
        <xdr:cNvPr id="27" name="Elipse 26"/>
        <xdr:cNvSpPr/>
      </xdr:nvSpPr>
      <xdr:spPr>
        <a:xfrm>
          <a:off x="9620250" y="115570"/>
          <a:ext cx="353060" cy="352425"/>
        </a:xfrm>
        <a:prstGeom prst="ellipse">
          <a:avLst/>
        </a:prstGeom>
        <a:blipFill>
          <a:blip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pt-BR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altLang="en-US" sz="1100" kern="1200"/>
        </a:p>
      </xdr:txBody>
    </xdr:sp>
    <xdr:clientData/>
  </xdr:twoCellAnchor>
  <xdr:twoCellAnchor>
    <xdr:from>
      <xdr:col>2</xdr:col>
      <xdr:colOff>50800</xdr:colOff>
      <xdr:row>22</xdr:row>
      <xdr:rowOff>26035</xdr:rowOff>
    </xdr:from>
    <xdr:to>
      <xdr:col>5</xdr:col>
      <xdr:colOff>589915</xdr:colOff>
      <xdr:row>37</xdr:row>
      <xdr:rowOff>27940</xdr:rowOff>
    </xdr:to>
    <xdr:graphicFrame>
      <xdr:nvGraphicFramePr>
        <xdr:cNvPr id="3" name="Gráfico 2" descr="7b0a202020202263686172745265734964223a202234353536333835220a7d0a"/>
        <xdr:cNvGraphicFramePr/>
      </xdr:nvGraphicFramePr>
      <xdr:xfrm>
        <a:off x="2451100" y="4359910"/>
        <a:ext cx="3491865" cy="2716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965200</xdr:colOff>
      <xdr:row>22</xdr:row>
      <xdr:rowOff>9525</xdr:rowOff>
    </xdr:from>
    <xdr:to>
      <xdr:col>9</xdr:col>
      <xdr:colOff>657225</xdr:colOff>
      <xdr:row>37</xdr:row>
      <xdr:rowOff>9525</xdr:rowOff>
    </xdr:to>
    <xdr:graphicFrame>
      <xdr:nvGraphicFramePr>
        <xdr:cNvPr id="5" name="Gráfico 4" descr="7b0a202020202263686172745265734964223a202234353536333835220a7d0a"/>
        <xdr:cNvGraphicFramePr/>
      </xdr:nvGraphicFramePr>
      <xdr:xfrm>
        <a:off x="6318250" y="4343400"/>
        <a:ext cx="3521075" cy="27146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9525</xdr:colOff>
      <xdr:row>0</xdr:row>
      <xdr:rowOff>9525</xdr:rowOff>
    </xdr:from>
    <xdr:to>
      <xdr:col>0</xdr:col>
      <xdr:colOff>2169795</xdr:colOff>
      <xdr:row>1</xdr:row>
      <xdr:rowOff>85090</xdr:rowOff>
    </xdr:to>
    <xdr:pic>
      <xdr:nvPicPr>
        <xdr:cNvPr id="6" name="Imagem 5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2160270" cy="60896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14.6024537037" refreshedBy="aline" recordCount="315">
  <cacheSource type="worksheet">
    <worksheetSource name="Tabela1"/>
  </cacheSource>
  <cacheFields count="16">
    <cacheField name="Subscriber ID" numFmtId="0">
      <sharedItems containsSemiMixedTypes="0" containsString="0" containsNumber="1" containsInteger="1" minValue="3231" maxValue="3600" count="302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49"/>
        <n v="3568"/>
        <n v="3600"/>
        <n v="3588"/>
        <n v="3593"/>
        <n v="3595"/>
        <n v="3599"/>
      </sharedItems>
    </cacheField>
    <cacheField name="Name" numFmtId="0">
      <sharedItems containsBlank="1" count="281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  <m/>
      </sharedItems>
    </cacheField>
    <cacheField name="Plan" numFmtId="0">
      <sharedItems count="3">
        <s v="Ultimate"/>
        <s v="Core"/>
        <s v="Standard"/>
      </sharedItems>
    </cacheField>
    <cacheField name="Start Date" numFmtId="58">
      <sharedItems containsSemiMixedTypes="0" containsString="0" containsNonDate="0" containsDate="1" minDate="2025-01-01T00:00:00" maxDate="2026-12-16T00:00:00" count="313">
        <d v="2025-01-01T00:00:00"/>
        <d v="2025-01-15T00:00:00"/>
        <d v="2025-02-10T00:00:00"/>
        <d v="2025-02-20T00:00:00"/>
        <d v="2025-03-05T00:00:00"/>
        <d v="2025-03-02T00:00:00"/>
        <d v="2025-03-03T00:00:00"/>
        <d v="2025-03-04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6-11-23T00:00:00"/>
        <d v="2025-11-24T00:00:00"/>
        <d v="2025-11-25T00:00:00"/>
        <d v="2025-11-26T00:00:00"/>
        <d v="2025-11-27T00:00:00"/>
        <d v="2025-11-28T00:00:00"/>
        <d v="2025-11-29T00:00:00"/>
        <d v="2026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6-12-08T00:00:00"/>
        <d v="2025-12-09T00:00:00"/>
        <d v="2025-12-10T00:00:00"/>
        <d v="2025-12-11T00:00:00"/>
        <d v="2026-12-12T00:00:00"/>
        <d v="2026-12-13T00:00:00"/>
        <d v="2025-12-14T00:00:00"/>
        <d v="2025-12-15T00:00:00"/>
        <d v="2026-12-16T00:00:00"/>
        <d v="2026-01-02T00:00:00"/>
        <d v="2026-06-18T00:00:00"/>
        <d v="2026-06-30T00:00:00"/>
        <d v="2026-07-30T00:00:00"/>
        <d v="2026-08-01T00:00:00"/>
        <d v="2026-10-15T00:00:00"/>
        <d v="2026-10-30T00:00:00"/>
        <d v="2026-10-27T00:00:00"/>
        <d v="2026-10-28T00:00:00"/>
        <d v="2026-08-15T00:00:00"/>
        <d v="2026-09-23T00:00:00"/>
        <d v="2026-09-10T00:00:00"/>
        <d v="2026-09-09T00:00:00"/>
        <d v="2026-10-10T00:00:00"/>
        <d v="2026-11-11T00:00:00"/>
        <d v="2026-11-02T00:00:00"/>
        <d v="2026-10-05T00:00:00"/>
        <d v="2026-10-14T00:00:00"/>
        <d v="2026-11-29T00:00:00"/>
      </sharedItems>
    </cacheField>
    <cacheField name="Fim_Assinatura" numFmtId="181">
      <sharedItems containsSemiMixedTypes="0" containsString="0" containsNonDate="0" containsDate="1" minDate="2025-01-31T00:00:00" maxDate="2027-11-25T00:00:00" count="289">
        <d v="2025-01-31T00:00:00"/>
        <d v="2026-01-10T00:00:00"/>
        <d v="2025-06-10T00:00:00"/>
        <d v="2025-03-22T00:00:00"/>
        <d v="2025-04-04T00:00:00"/>
        <d v="2025-04-01T00:00:00"/>
        <d v="2025-07-01T00:00:00"/>
        <d v="2026-02-27T00:00:00"/>
        <d v="2025-07-04T00:00:00"/>
        <d v="2025-04-06T00:00:00"/>
        <d v="2026-03-03T00:00:00"/>
        <d v="2025-04-08T00:00:00"/>
        <d v="2025-07-08T00:00:00"/>
        <d v="2025-04-10T00:00:00"/>
        <d v="2026-03-07T00:00:00"/>
        <d v="2025-04-12T00:00:00"/>
        <d v="2025-07-12T00:00:00"/>
        <d v="2025-04-14T00:00:00"/>
        <d v="2026-03-11T00:00:00"/>
        <d v="2025-04-16T00:00:00"/>
        <d v="2025-07-16T00:00:00"/>
        <d v="2025-04-18T00:00:00"/>
        <d v="2026-03-15T00:00:00"/>
        <d v="2025-04-20T00:00:00"/>
        <d v="2025-07-20T00:00:00"/>
        <d v="2025-04-22T00:00:00"/>
        <d v="2026-03-19T00:00:00"/>
        <d v="2025-04-24T00:00:00"/>
        <d v="2025-07-24T00:00:00"/>
        <d v="2025-04-26T00:00:00"/>
        <d v="2026-03-23T00:00:00"/>
        <d v="2025-04-28T00:00:00"/>
        <d v="2025-07-28T00:00:00"/>
        <d v="2025-04-30T00:00:00"/>
        <d v="2025-05-01T00:00:00"/>
        <d v="2025-07-31T00:00:00"/>
        <d v="2026-03-29T00:00:00"/>
        <d v="2025-08-02T00:00:00"/>
        <d v="2025-05-05T00:00:00"/>
        <d v="2025-05-06T00:00:00"/>
        <d v="2026-04-02T00:00:00"/>
        <d v="2025-08-06T00:00:00"/>
        <d v="2025-08-07T00:00:00"/>
        <d v="2025-05-10T00:00:00"/>
        <d v="2026-04-06T00:00:00"/>
        <d v="2025-05-12T00:00:00"/>
        <d v="2025-08-11T00:00:00"/>
        <d v="2025-05-14T00:00:00"/>
        <d v="2026-04-10T00:00:00"/>
        <d v="2025-05-16T00:00:00"/>
        <d v="2025-08-15T00:00:00"/>
        <d v="2025-05-18T00:00:00"/>
        <d v="2026-04-14T00:00:00"/>
        <d v="2025-05-20T00:00:00"/>
        <d v="2025-08-19T00:00:00"/>
        <d v="2025-05-22T00:00:00"/>
        <d v="2026-04-18T00:00:00"/>
        <d v="2025-05-24T00:00:00"/>
        <d v="2025-08-23T00:00:00"/>
        <d v="2025-05-26T00:00:00"/>
        <d v="2026-04-22T00:00:00"/>
        <d v="2025-05-28T00:00:00"/>
        <d v="2025-08-27T00:00:00"/>
        <d v="2025-05-30T00:00:00"/>
        <d v="2025-05-31T00:00:00"/>
        <d v="2025-08-30T00:00:00"/>
        <d v="2026-04-28T00:00:00"/>
        <d v="2025-09-01T00:00:00"/>
        <d v="2025-06-04T00:00:00"/>
        <d v="2025-06-05T00:00:00"/>
        <d v="2026-05-02T00:00:00"/>
        <d v="2025-09-05T00:00:00"/>
        <d v="2025-09-06T00:00:00"/>
        <d v="2025-06-09T00:00:00"/>
        <d v="2026-05-06T00:00:00"/>
        <d v="2025-06-11T00:00:00"/>
        <d v="2025-09-10T00:00:00"/>
        <d v="2025-06-13T00:00:00"/>
        <d v="2026-05-10T00:00:00"/>
        <d v="2025-06-15T00:00:00"/>
        <d v="2025-09-14T00:00:00"/>
        <d v="2025-06-17T00:00:00"/>
        <d v="2026-05-14T00:00:00"/>
        <d v="2025-06-19T00:00:00"/>
        <d v="2025-09-18T00:00:00"/>
        <d v="2025-06-21T00:00:00"/>
        <d v="2026-05-18T00:00:00"/>
        <d v="2025-06-23T00:00:00"/>
        <d v="2025-09-22T00:00:00"/>
        <d v="2025-06-25T00:00:00"/>
        <d v="2026-05-22T00:00:00"/>
        <d v="2025-06-27T00:00:00"/>
        <d v="2025-09-26T00:00:00"/>
        <d v="2025-09-27T00:00:00"/>
        <d v="2026-05-26T00:00:00"/>
        <d v="2026-05-28T00:00:00"/>
        <d v="2025-10-01T00:00:00"/>
        <d v="2025-07-05T00:00:00"/>
        <d v="2026-06-01T00:00:00"/>
        <d v="2025-10-05T00:00:00"/>
        <d v="2025-10-06T00:00:00"/>
        <d v="2025-07-09T00:00:00"/>
        <d v="2025-07-10T00:00:00"/>
        <d v="2025-10-09T00:00:00"/>
        <d v="2026-06-07T00:00:00"/>
        <d v="2025-10-11T00:00:00"/>
        <d v="2025-07-14T00:00:00"/>
        <d v="2025-07-15T00:00:00"/>
        <d v="2026-06-11T00:00:00"/>
        <d v="2025-10-15T00:00:00"/>
        <d v="2025-10-16T00:00:00"/>
        <d v="2025-07-19T00:00:00"/>
        <d v="2026-06-15T00:00:00"/>
        <d v="2025-07-21T00:00:00"/>
        <d v="2025-10-20T00:00:00"/>
        <d v="2025-07-23T00:00:00"/>
        <d v="2026-06-19T00:00:00"/>
        <d v="2025-07-25T00:00:00"/>
        <d v="2025-10-24T00:00:00"/>
        <d v="2025-07-27T00:00:00"/>
        <d v="2026-06-23T00:00:00"/>
        <d v="2025-07-29T00:00:00"/>
        <d v="2025-10-28T00:00:00"/>
        <d v="2026-06-27T00:00:00"/>
        <d v="2025-11-01T00:00:00"/>
        <d v="2025-08-04T00:00:00"/>
        <d v="2026-07-01T00:00:00"/>
        <d v="2025-11-05T00:00:00"/>
        <d v="2025-08-08T00:00:00"/>
        <d v="2025-08-09T00:00:00"/>
        <d v="2025-11-08T00:00:00"/>
        <d v="2026-07-07T00:00:00"/>
        <d v="2025-11-10T00:00:00"/>
        <d v="2025-08-13T00:00:00"/>
        <d v="2025-08-14T00:00:00"/>
        <d v="2026-07-11T00:00:00"/>
        <d v="2025-11-14T00:00:00"/>
        <d v="2025-11-15T00:00:00"/>
        <d v="2025-08-18T00:00:00"/>
        <d v="2026-07-15T00:00:00"/>
        <d v="2025-08-20T00:00:00"/>
        <d v="2025-11-19T00:00:00"/>
        <d v="2025-08-22T00:00:00"/>
        <d v="2026-07-19T00:00:00"/>
        <d v="2025-08-24T00:00:00"/>
        <d v="2025-11-23T00:00:00"/>
        <d v="2025-08-26T00:00:00"/>
        <d v="2026-07-23T00:00:00"/>
        <d v="2025-08-28T00:00:00"/>
        <d v="2025-11-27T00:00:00"/>
        <d v="2026-07-27T00:00:00"/>
        <d v="2025-12-01T00:00:00"/>
        <d v="2025-09-03T00:00:00"/>
        <d v="2026-07-31T00:00:00"/>
        <d v="2025-12-05T00:00:00"/>
        <d v="2025-09-07T00:00:00"/>
        <d v="2026-08-04T00:00:00"/>
        <d v="2025-09-09T00:00:00"/>
        <d v="2025-12-09T00:00:00"/>
        <d v="2025-09-11T00:00:00"/>
        <d v="2026-08-08T00:00:00"/>
        <d v="2025-09-13T00:00:00"/>
        <d v="2025-12-13T00:00:00"/>
        <d v="2025-09-15T00:00:00"/>
        <d v="2026-08-12T00:00:00"/>
        <d v="2025-09-17T00:00:00"/>
        <d v="2025-12-18T00:00:00"/>
        <d v="2026-08-16T00:00:00"/>
        <d v="2025-12-20T00:00:00"/>
        <d v="2025-09-23T00:00:00"/>
        <d v="2026-08-20T00:00:00"/>
        <d v="2025-12-24T00:00:00"/>
        <d v="2025-12-25T00:00:00"/>
        <d v="2026-08-24T00:00:00"/>
        <d v="2025-09-29T00:00:00"/>
        <d v="2025-12-29T00:00:00"/>
        <d v="2026-08-28T00:00:00"/>
        <d v="2025-10-03T00:00:00"/>
        <d v="2026-01-02T00:00:00"/>
        <d v="2026-09-01T00:00:00"/>
        <d v="2025-10-07T00:00:00"/>
        <d v="2026-01-06T00:00:00"/>
        <d v="2026-09-05T00:00:00"/>
        <d v="2025-10-13T00:00:00"/>
        <d v="2026-09-09T00:00:00"/>
        <d v="2026-01-14T00:00:00"/>
        <d v="2025-10-17T00:00:00"/>
        <d v="2025-10-18T00:00:00"/>
        <d v="2026-01-17T00:00:00"/>
        <d v="2026-09-15T00:00:00"/>
        <d v="2026-01-19T00:00:00"/>
        <d v="2025-10-22T00:00:00"/>
        <d v="2025-10-23T00:00:00"/>
        <d v="2026-09-19T00:00:00"/>
        <d v="2026-01-23T00:00:00"/>
        <d v="2026-01-24T00:00:00"/>
        <d v="2025-10-27T00:00:00"/>
        <d v="2026-09-23T00:00:00"/>
        <d v="2025-10-29T00:00:00"/>
        <d v="2026-01-28T00:00:00"/>
        <d v="2025-10-31T00:00:00"/>
        <d v="2026-09-27T00:00:00"/>
        <d v="2025-11-02T00:00:00"/>
        <d v="2026-02-01T00:00:00"/>
        <d v="2025-11-04T00:00:00"/>
        <d v="2026-10-01T00:00:00"/>
        <d v="2025-11-06T00:00:00"/>
        <d v="2026-02-05T00:00:00"/>
        <d v="2026-10-05T00:00:00"/>
        <d v="2026-02-09T00:00:00"/>
        <d v="2025-11-12T00:00:00"/>
        <d v="2026-10-09T00:00:00"/>
        <d v="2026-02-13T00:00:00"/>
        <d v="2025-11-16T00:00:00"/>
        <d v="2026-10-13T00:00:00"/>
        <d v="2025-11-18T00:00:00"/>
        <d v="2026-02-17T00:00:00"/>
        <d v="2025-11-20T00:00:00"/>
        <d v="2026-10-17T00:00:00"/>
        <d v="2025-11-22T00:00:00"/>
        <d v="2026-02-21T00:00:00"/>
        <d v="2025-11-24T00:00:00"/>
        <d v="2026-10-21T00:00:00"/>
        <d v="2025-11-26T00:00:00"/>
        <d v="2026-02-25T00:00:00"/>
        <d v="2025-11-28T00:00:00"/>
        <d v="2026-10-25T00:00:00"/>
        <d v="2025-11-30T00:00:00"/>
        <d v="2026-03-01T00:00:00"/>
        <d v="2025-12-02T00:00:00"/>
        <d v="2026-10-29T00:00:00"/>
        <d v="2025-12-04T00:00:00"/>
        <d v="2026-03-05T00:00:00"/>
        <d v="2025-12-06T00:00:00"/>
        <d v="2025-12-07T00:00:00"/>
        <d v="2026-03-08T00:00:00"/>
        <d v="2026-11-04T00:00:00"/>
        <d v="2026-03-10T00:00:00"/>
        <d v="2025-12-11T00:00:00"/>
        <d v="2025-12-12T00:00:00"/>
        <d v="2026-11-08T00:00:00"/>
        <d v="2026-03-14T00:00:00"/>
        <d v="2025-12-16T00:00:00"/>
        <d v="2026-11-12T00:00:00"/>
        <d v="2026-11-16T00:00:00"/>
        <d v="2025-12-22T00:00:00"/>
        <d v="2027-03-23T00:00:00"/>
        <d v="2026-11-20T00:00:00"/>
        <d v="2025-12-26T00:00:00"/>
        <d v="2026-03-27T00:00:00"/>
        <d v="2025-12-28T00:00:00"/>
        <d v="2026-11-24T00:00:00"/>
        <d v="2026-12-30T00:00:00"/>
        <d v="2026-03-31T00:00:00"/>
        <d v="2026-01-01T00:00:00"/>
        <d v="2026-11-28T00:00:00"/>
        <d v="2026-01-03T00:00:00"/>
        <d v="2026-04-04T00:00:00"/>
        <d v="2026-01-05T00:00:00"/>
        <d v="2026-12-02T00:00:00"/>
        <d v="2027-01-07T00:00:00"/>
        <d v="2026-04-08T00:00:00"/>
        <d v="2026-01-09T00:00:00"/>
        <d v="2026-12-06T00:00:00"/>
        <d v="2027-01-11T00:00:00"/>
        <d v="2027-04-12T00:00:00"/>
        <d v="2026-01-13T00:00:00"/>
        <d v="2026-12-10T00:00:00"/>
        <d v="2027-01-15T00:00:00"/>
        <d v="2026-12-28T00:00:00"/>
        <d v="2027-06-13T00:00:00"/>
        <d v="2027-06-25T00:00:00"/>
        <d v="2027-07-25T00:00:00"/>
        <d v="2027-07-27T00:00:00"/>
        <d v="2027-10-10T00:00:00"/>
        <d v="2027-10-25T00:00:00"/>
        <d v="2027-10-22T00:00:00"/>
        <d v="2027-10-23T00:00:00"/>
        <d v="2027-08-10T00:00:00"/>
        <d v="2027-09-18T00:00:00"/>
        <d v="2027-09-05T00:00:00"/>
        <d v="2027-09-04T00:00:00"/>
        <d v="2027-10-05T00:00:00"/>
        <d v="2027-11-06T00:00:00"/>
        <d v="2027-10-28T00:00:00"/>
        <d v="2027-09-30T00:00:00"/>
        <d v="2027-10-09T00:00:00"/>
        <d v="2027-11-24T00:00:00"/>
        <d v="2027-11-25T00:00:00"/>
      </sharedItems>
    </cacheField>
    <cacheField name="Status_do_Contrato" numFmtId="58">
      <sharedItems count="2">
        <s v="Vencido"/>
        <s v="A vencer"/>
      </sharedItems>
    </cacheField>
    <cacheField name="Auto Renewal" numFmtId="0">
      <sharedItems count="2">
        <s v="Yes"/>
        <s v="No"/>
      </sharedItems>
    </cacheField>
    <cacheField name="Subscription Price" numFmtId="177">
      <sharedItems containsSemiMixedTypes="0" containsString="0" containsNumber="1" containsInteger="1" minValue="5" maxValue="20" count="4">
        <n v="15"/>
        <n v="5"/>
        <n v="10"/>
        <n v="2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49">
      <sharedItems count="2">
        <s v="Yes"/>
        <s v="No"/>
      </sharedItems>
    </cacheField>
    <cacheField name="EA Play Season Pass_x000a_Price" numFmtId="177">
      <sharedItems containsString="0" containsBlank="1" containsNumber="1" containsInteger="1" minValue="30" maxValue="30" count="2">
        <n v="30"/>
        <m/>
      </sharedItems>
    </cacheField>
    <cacheField name="Minecraft Season Pass" numFmtId="49">
      <sharedItems count="2">
        <s v="Yes"/>
        <s v="No"/>
      </sharedItems>
    </cacheField>
    <cacheField name="Minecraft Season Pass Price" numFmtId="177">
      <sharedItems containsString="0" containsBlank="1" containsNumber="1" containsInteger="1" minValue="20" maxValue="20" count="2">
        <n v="20"/>
        <m/>
      </sharedItems>
    </cacheField>
    <cacheField name="Coupon Value" numFmtId="177">
      <sharedItems containsString="0" containsBlank="1" containsNumber="1" containsInteger="1" minValue="0" maxValue="20" count="12">
        <n v="5"/>
        <n v="0"/>
        <n v="10"/>
        <n v="3"/>
        <n v="1"/>
        <n v="2"/>
        <n v="15"/>
        <n v="20"/>
        <n v="8"/>
        <n v="12"/>
        <n v="7"/>
        <m/>
      </sharedItems>
    </cacheField>
    <cacheField name="Tem_Cupom" numFmtId="177">
      <sharedItems count="4">
        <s v="Yes"/>
        <s v="No"/>
        <s v="Sim" u="1"/>
        <s v="Não" u="1"/>
      </sharedItems>
    </cacheField>
    <cacheField name="Total Value" numFmtId="177">
      <sharedItems containsSemiMixedTypes="0" containsString="0" containsNumber="1" containsInteger="1" minValue="0" maxValue="62" count="22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  <n v="0"/>
        <n v="7"/>
        <n v="54"/>
        <n v="13"/>
        <n v="12"/>
        <n v="10"/>
        <n v="53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5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1"/>
    <x v="1"/>
    <x v="1"/>
    <x v="1"/>
    <x v="1"/>
    <x v="1"/>
  </r>
  <r>
    <x v="2"/>
    <x v="2"/>
    <x v="2"/>
    <x v="2"/>
    <x v="2"/>
    <x v="0"/>
    <x v="0"/>
    <x v="2"/>
    <x v="2"/>
    <x v="1"/>
    <x v="1"/>
    <x v="0"/>
    <x v="0"/>
    <x v="2"/>
    <x v="0"/>
    <x v="2"/>
  </r>
  <r>
    <x v="3"/>
    <x v="3"/>
    <x v="0"/>
    <x v="3"/>
    <x v="3"/>
    <x v="0"/>
    <x v="1"/>
    <x v="0"/>
    <x v="0"/>
    <x v="0"/>
    <x v="0"/>
    <x v="0"/>
    <x v="0"/>
    <x v="3"/>
    <x v="0"/>
    <x v="3"/>
  </r>
  <r>
    <x v="4"/>
    <x v="4"/>
    <x v="1"/>
    <x v="4"/>
    <x v="4"/>
    <x v="0"/>
    <x v="0"/>
    <x v="1"/>
    <x v="0"/>
    <x v="1"/>
    <x v="1"/>
    <x v="1"/>
    <x v="1"/>
    <x v="4"/>
    <x v="0"/>
    <x v="4"/>
  </r>
  <r>
    <x v="5"/>
    <x v="5"/>
    <x v="2"/>
    <x v="5"/>
    <x v="5"/>
    <x v="0"/>
    <x v="1"/>
    <x v="2"/>
    <x v="0"/>
    <x v="1"/>
    <x v="1"/>
    <x v="0"/>
    <x v="0"/>
    <x v="5"/>
    <x v="0"/>
    <x v="5"/>
  </r>
  <r>
    <x v="6"/>
    <x v="6"/>
    <x v="0"/>
    <x v="6"/>
    <x v="6"/>
    <x v="0"/>
    <x v="0"/>
    <x v="0"/>
    <x v="2"/>
    <x v="0"/>
    <x v="0"/>
    <x v="0"/>
    <x v="0"/>
    <x v="2"/>
    <x v="0"/>
    <x v="6"/>
  </r>
  <r>
    <x v="7"/>
    <x v="7"/>
    <x v="1"/>
    <x v="7"/>
    <x v="7"/>
    <x v="0"/>
    <x v="0"/>
    <x v="1"/>
    <x v="1"/>
    <x v="1"/>
    <x v="1"/>
    <x v="1"/>
    <x v="1"/>
    <x v="1"/>
    <x v="1"/>
    <x v="1"/>
  </r>
  <r>
    <x v="8"/>
    <x v="8"/>
    <x v="0"/>
    <x v="4"/>
    <x v="4"/>
    <x v="0"/>
    <x v="1"/>
    <x v="0"/>
    <x v="0"/>
    <x v="0"/>
    <x v="0"/>
    <x v="0"/>
    <x v="0"/>
    <x v="0"/>
    <x v="0"/>
    <x v="0"/>
  </r>
  <r>
    <x v="9"/>
    <x v="9"/>
    <x v="2"/>
    <x v="8"/>
    <x v="8"/>
    <x v="0"/>
    <x v="0"/>
    <x v="2"/>
    <x v="2"/>
    <x v="1"/>
    <x v="1"/>
    <x v="0"/>
    <x v="0"/>
    <x v="6"/>
    <x v="0"/>
    <x v="7"/>
  </r>
  <r>
    <x v="10"/>
    <x v="10"/>
    <x v="1"/>
    <x v="9"/>
    <x v="9"/>
    <x v="0"/>
    <x v="1"/>
    <x v="1"/>
    <x v="0"/>
    <x v="1"/>
    <x v="1"/>
    <x v="1"/>
    <x v="1"/>
    <x v="4"/>
    <x v="0"/>
    <x v="4"/>
  </r>
  <r>
    <x v="11"/>
    <x v="11"/>
    <x v="0"/>
    <x v="10"/>
    <x v="10"/>
    <x v="0"/>
    <x v="0"/>
    <x v="0"/>
    <x v="1"/>
    <x v="0"/>
    <x v="0"/>
    <x v="0"/>
    <x v="0"/>
    <x v="7"/>
    <x v="0"/>
    <x v="8"/>
  </r>
  <r>
    <x v="12"/>
    <x v="12"/>
    <x v="2"/>
    <x v="11"/>
    <x v="11"/>
    <x v="0"/>
    <x v="1"/>
    <x v="2"/>
    <x v="0"/>
    <x v="1"/>
    <x v="1"/>
    <x v="0"/>
    <x v="0"/>
    <x v="2"/>
    <x v="0"/>
    <x v="2"/>
  </r>
  <r>
    <x v="13"/>
    <x v="13"/>
    <x v="1"/>
    <x v="12"/>
    <x v="12"/>
    <x v="0"/>
    <x v="0"/>
    <x v="1"/>
    <x v="2"/>
    <x v="1"/>
    <x v="1"/>
    <x v="1"/>
    <x v="1"/>
    <x v="1"/>
    <x v="1"/>
    <x v="1"/>
  </r>
  <r>
    <x v="14"/>
    <x v="14"/>
    <x v="0"/>
    <x v="13"/>
    <x v="13"/>
    <x v="0"/>
    <x v="1"/>
    <x v="0"/>
    <x v="0"/>
    <x v="0"/>
    <x v="0"/>
    <x v="0"/>
    <x v="0"/>
    <x v="8"/>
    <x v="0"/>
    <x v="9"/>
  </r>
  <r>
    <x v="15"/>
    <x v="15"/>
    <x v="2"/>
    <x v="14"/>
    <x v="14"/>
    <x v="0"/>
    <x v="0"/>
    <x v="2"/>
    <x v="1"/>
    <x v="1"/>
    <x v="1"/>
    <x v="0"/>
    <x v="0"/>
    <x v="9"/>
    <x v="0"/>
    <x v="10"/>
  </r>
  <r>
    <x v="16"/>
    <x v="16"/>
    <x v="1"/>
    <x v="15"/>
    <x v="15"/>
    <x v="0"/>
    <x v="1"/>
    <x v="1"/>
    <x v="0"/>
    <x v="1"/>
    <x v="1"/>
    <x v="1"/>
    <x v="1"/>
    <x v="5"/>
    <x v="0"/>
    <x v="11"/>
  </r>
  <r>
    <x v="17"/>
    <x v="17"/>
    <x v="0"/>
    <x v="16"/>
    <x v="16"/>
    <x v="0"/>
    <x v="0"/>
    <x v="0"/>
    <x v="2"/>
    <x v="0"/>
    <x v="0"/>
    <x v="0"/>
    <x v="0"/>
    <x v="10"/>
    <x v="0"/>
    <x v="12"/>
  </r>
  <r>
    <x v="18"/>
    <x v="18"/>
    <x v="2"/>
    <x v="17"/>
    <x v="17"/>
    <x v="0"/>
    <x v="1"/>
    <x v="2"/>
    <x v="0"/>
    <x v="1"/>
    <x v="1"/>
    <x v="0"/>
    <x v="0"/>
    <x v="0"/>
    <x v="0"/>
    <x v="13"/>
  </r>
  <r>
    <x v="19"/>
    <x v="19"/>
    <x v="1"/>
    <x v="18"/>
    <x v="18"/>
    <x v="0"/>
    <x v="0"/>
    <x v="1"/>
    <x v="1"/>
    <x v="1"/>
    <x v="1"/>
    <x v="1"/>
    <x v="1"/>
    <x v="1"/>
    <x v="1"/>
    <x v="1"/>
  </r>
  <r>
    <x v="20"/>
    <x v="20"/>
    <x v="0"/>
    <x v="19"/>
    <x v="19"/>
    <x v="0"/>
    <x v="1"/>
    <x v="0"/>
    <x v="0"/>
    <x v="0"/>
    <x v="0"/>
    <x v="0"/>
    <x v="0"/>
    <x v="3"/>
    <x v="0"/>
    <x v="3"/>
  </r>
  <r>
    <x v="21"/>
    <x v="21"/>
    <x v="2"/>
    <x v="20"/>
    <x v="20"/>
    <x v="0"/>
    <x v="0"/>
    <x v="2"/>
    <x v="2"/>
    <x v="1"/>
    <x v="1"/>
    <x v="0"/>
    <x v="0"/>
    <x v="6"/>
    <x v="0"/>
    <x v="7"/>
  </r>
  <r>
    <x v="22"/>
    <x v="22"/>
    <x v="1"/>
    <x v="21"/>
    <x v="21"/>
    <x v="0"/>
    <x v="1"/>
    <x v="1"/>
    <x v="0"/>
    <x v="1"/>
    <x v="1"/>
    <x v="1"/>
    <x v="1"/>
    <x v="4"/>
    <x v="0"/>
    <x v="4"/>
  </r>
  <r>
    <x v="23"/>
    <x v="23"/>
    <x v="0"/>
    <x v="22"/>
    <x v="22"/>
    <x v="0"/>
    <x v="0"/>
    <x v="0"/>
    <x v="1"/>
    <x v="0"/>
    <x v="0"/>
    <x v="0"/>
    <x v="0"/>
    <x v="7"/>
    <x v="0"/>
    <x v="8"/>
  </r>
  <r>
    <x v="24"/>
    <x v="24"/>
    <x v="2"/>
    <x v="23"/>
    <x v="23"/>
    <x v="0"/>
    <x v="1"/>
    <x v="2"/>
    <x v="0"/>
    <x v="1"/>
    <x v="1"/>
    <x v="0"/>
    <x v="0"/>
    <x v="2"/>
    <x v="0"/>
    <x v="2"/>
  </r>
  <r>
    <x v="25"/>
    <x v="25"/>
    <x v="1"/>
    <x v="24"/>
    <x v="24"/>
    <x v="0"/>
    <x v="0"/>
    <x v="1"/>
    <x v="2"/>
    <x v="1"/>
    <x v="1"/>
    <x v="1"/>
    <x v="1"/>
    <x v="1"/>
    <x v="1"/>
    <x v="1"/>
  </r>
  <r>
    <x v="26"/>
    <x v="26"/>
    <x v="0"/>
    <x v="25"/>
    <x v="25"/>
    <x v="0"/>
    <x v="1"/>
    <x v="0"/>
    <x v="0"/>
    <x v="0"/>
    <x v="0"/>
    <x v="0"/>
    <x v="0"/>
    <x v="0"/>
    <x v="0"/>
    <x v="0"/>
  </r>
  <r>
    <x v="27"/>
    <x v="27"/>
    <x v="2"/>
    <x v="26"/>
    <x v="26"/>
    <x v="0"/>
    <x v="0"/>
    <x v="2"/>
    <x v="1"/>
    <x v="1"/>
    <x v="1"/>
    <x v="0"/>
    <x v="0"/>
    <x v="6"/>
    <x v="0"/>
    <x v="7"/>
  </r>
  <r>
    <x v="28"/>
    <x v="28"/>
    <x v="1"/>
    <x v="27"/>
    <x v="27"/>
    <x v="0"/>
    <x v="1"/>
    <x v="1"/>
    <x v="0"/>
    <x v="1"/>
    <x v="1"/>
    <x v="1"/>
    <x v="1"/>
    <x v="4"/>
    <x v="0"/>
    <x v="4"/>
  </r>
  <r>
    <x v="29"/>
    <x v="29"/>
    <x v="0"/>
    <x v="28"/>
    <x v="28"/>
    <x v="0"/>
    <x v="0"/>
    <x v="0"/>
    <x v="2"/>
    <x v="0"/>
    <x v="0"/>
    <x v="0"/>
    <x v="0"/>
    <x v="10"/>
    <x v="0"/>
    <x v="12"/>
  </r>
  <r>
    <x v="30"/>
    <x v="30"/>
    <x v="2"/>
    <x v="29"/>
    <x v="29"/>
    <x v="0"/>
    <x v="1"/>
    <x v="2"/>
    <x v="0"/>
    <x v="1"/>
    <x v="1"/>
    <x v="0"/>
    <x v="0"/>
    <x v="2"/>
    <x v="0"/>
    <x v="2"/>
  </r>
  <r>
    <x v="31"/>
    <x v="31"/>
    <x v="1"/>
    <x v="30"/>
    <x v="30"/>
    <x v="0"/>
    <x v="0"/>
    <x v="1"/>
    <x v="1"/>
    <x v="1"/>
    <x v="1"/>
    <x v="1"/>
    <x v="1"/>
    <x v="1"/>
    <x v="1"/>
    <x v="1"/>
  </r>
  <r>
    <x v="32"/>
    <x v="32"/>
    <x v="0"/>
    <x v="31"/>
    <x v="31"/>
    <x v="0"/>
    <x v="1"/>
    <x v="0"/>
    <x v="0"/>
    <x v="0"/>
    <x v="0"/>
    <x v="0"/>
    <x v="0"/>
    <x v="3"/>
    <x v="0"/>
    <x v="3"/>
  </r>
  <r>
    <x v="33"/>
    <x v="33"/>
    <x v="2"/>
    <x v="32"/>
    <x v="32"/>
    <x v="0"/>
    <x v="0"/>
    <x v="2"/>
    <x v="2"/>
    <x v="1"/>
    <x v="1"/>
    <x v="0"/>
    <x v="0"/>
    <x v="6"/>
    <x v="0"/>
    <x v="7"/>
  </r>
  <r>
    <x v="34"/>
    <x v="34"/>
    <x v="1"/>
    <x v="33"/>
    <x v="33"/>
    <x v="0"/>
    <x v="1"/>
    <x v="1"/>
    <x v="0"/>
    <x v="1"/>
    <x v="1"/>
    <x v="1"/>
    <x v="1"/>
    <x v="4"/>
    <x v="0"/>
    <x v="4"/>
  </r>
  <r>
    <x v="35"/>
    <x v="35"/>
    <x v="1"/>
    <x v="34"/>
    <x v="34"/>
    <x v="0"/>
    <x v="0"/>
    <x v="1"/>
    <x v="0"/>
    <x v="1"/>
    <x v="1"/>
    <x v="1"/>
    <x v="1"/>
    <x v="1"/>
    <x v="1"/>
    <x v="1"/>
  </r>
  <r>
    <x v="36"/>
    <x v="36"/>
    <x v="0"/>
    <x v="35"/>
    <x v="35"/>
    <x v="0"/>
    <x v="1"/>
    <x v="0"/>
    <x v="2"/>
    <x v="0"/>
    <x v="0"/>
    <x v="0"/>
    <x v="0"/>
    <x v="10"/>
    <x v="0"/>
    <x v="12"/>
  </r>
  <r>
    <x v="37"/>
    <x v="37"/>
    <x v="2"/>
    <x v="36"/>
    <x v="36"/>
    <x v="0"/>
    <x v="0"/>
    <x v="2"/>
    <x v="1"/>
    <x v="1"/>
    <x v="1"/>
    <x v="0"/>
    <x v="0"/>
    <x v="2"/>
    <x v="0"/>
    <x v="2"/>
  </r>
  <r>
    <x v="38"/>
    <x v="38"/>
    <x v="1"/>
    <x v="37"/>
    <x v="37"/>
    <x v="0"/>
    <x v="1"/>
    <x v="1"/>
    <x v="2"/>
    <x v="1"/>
    <x v="1"/>
    <x v="1"/>
    <x v="1"/>
    <x v="4"/>
    <x v="0"/>
    <x v="4"/>
  </r>
  <r>
    <x v="39"/>
    <x v="39"/>
    <x v="0"/>
    <x v="38"/>
    <x v="38"/>
    <x v="0"/>
    <x v="0"/>
    <x v="0"/>
    <x v="0"/>
    <x v="0"/>
    <x v="0"/>
    <x v="0"/>
    <x v="0"/>
    <x v="6"/>
    <x v="0"/>
    <x v="14"/>
  </r>
  <r>
    <x v="40"/>
    <x v="40"/>
    <x v="2"/>
    <x v="39"/>
    <x v="39"/>
    <x v="0"/>
    <x v="1"/>
    <x v="2"/>
    <x v="0"/>
    <x v="1"/>
    <x v="1"/>
    <x v="0"/>
    <x v="0"/>
    <x v="0"/>
    <x v="0"/>
    <x v="13"/>
  </r>
  <r>
    <x v="41"/>
    <x v="41"/>
    <x v="1"/>
    <x v="40"/>
    <x v="40"/>
    <x v="0"/>
    <x v="0"/>
    <x v="1"/>
    <x v="1"/>
    <x v="1"/>
    <x v="1"/>
    <x v="1"/>
    <x v="1"/>
    <x v="1"/>
    <x v="1"/>
    <x v="1"/>
  </r>
  <r>
    <x v="42"/>
    <x v="42"/>
    <x v="0"/>
    <x v="41"/>
    <x v="41"/>
    <x v="0"/>
    <x v="1"/>
    <x v="0"/>
    <x v="2"/>
    <x v="0"/>
    <x v="0"/>
    <x v="0"/>
    <x v="0"/>
    <x v="7"/>
    <x v="0"/>
    <x v="8"/>
  </r>
  <r>
    <x v="43"/>
    <x v="43"/>
    <x v="2"/>
    <x v="42"/>
    <x v="42"/>
    <x v="0"/>
    <x v="0"/>
    <x v="2"/>
    <x v="2"/>
    <x v="1"/>
    <x v="1"/>
    <x v="0"/>
    <x v="0"/>
    <x v="9"/>
    <x v="0"/>
    <x v="10"/>
  </r>
  <r>
    <x v="44"/>
    <x v="44"/>
    <x v="1"/>
    <x v="43"/>
    <x v="43"/>
    <x v="0"/>
    <x v="1"/>
    <x v="1"/>
    <x v="0"/>
    <x v="1"/>
    <x v="1"/>
    <x v="1"/>
    <x v="1"/>
    <x v="5"/>
    <x v="0"/>
    <x v="11"/>
  </r>
  <r>
    <x v="45"/>
    <x v="45"/>
    <x v="0"/>
    <x v="44"/>
    <x v="44"/>
    <x v="0"/>
    <x v="0"/>
    <x v="0"/>
    <x v="1"/>
    <x v="0"/>
    <x v="0"/>
    <x v="0"/>
    <x v="0"/>
    <x v="0"/>
    <x v="0"/>
    <x v="0"/>
  </r>
  <r>
    <x v="46"/>
    <x v="46"/>
    <x v="2"/>
    <x v="45"/>
    <x v="45"/>
    <x v="0"/>
    <x v="1"/>
    <x v="2"/>
    <x v="0"/>
    <x v="1"/>
    <x v="1"/>
    <x v="0"/>
    <x v="0"/>
    <x v="2"/>
    <x v="0"/>
    <x v="2"/>
  </r>
  <r>
    <x v="47"/>
    <x v="47"/>
    <x v="1"/>
    <x v="46"/>
    <x v="46"/>
    <x v="0"/>
    <x v="0"/>
    <x v="1"/>
    <x v="2"/>
    <x v="1"/>
    <x v="1"/>
    <x v="1"/>
    <x v="1"/>
    <x v="1"/>
    <x v="1"/>
    <x v="1"/>
  </r>
  <r>
    <x v="48"/>
    <x v="48"/>
    <x v="0"/>
    <x v="47"/>
    <x v="47"/>
    <x v="0"/>
    <x v="1"/>
    <x v="0"/>
    <x v="0"/>
    <x v="0"/>
    <x v="0"/>
    <x v="0"/>
    <x v="0"/>
    <x v="3"/>
    <x v="0"/>
    <x v="3"/>
  </r>
  <r>
    <x v="49"/>
    <x v="49"/>
    <x v="2"/>
    <x v="48"/>
    <x v="48"/>
    <x v="0"/>
    <x v="0"/>
    <x v="2"/>
    <x v="1"/>
    <x v="1"/>
    <x v="1"/>
    <x v="0"/>
    <x v="0"/>
    <x v="6"/>
    <x v="0"/>
    <x v="7"/>
  </r>
  <r>
    <x v="50"/>
    <x v="50"/>
    <x v="1"/>
    <x v="49"/>
    <x v="49"/>
    <x v="0"/>
    <x v="1"/>
    <x v="1"/>
    <x v="0"/>
    <x v="1"/>
    <x v="1"/>
    <x v="1"/>
    <x v="1"/>
    <x v="4"/>
    <x v="0"/>
    <x v="4"/>
  </r>
  <r>
    <x v="51"/>
    <x v="51"/>
    <x v="0"/>
    <x v="50"/>
    <x v="50"/>
    <x v="0"/>
    <x v="0"/>
    <x v="0"/>
    <x v="2"/>
    <x v="0"/>
    <x v="0"/>
    <x v="0"/>
    <x v="0"/>
    <x v="10"/>
    <x v="0"/>
    <x v="12"/>
  </r>
  <r>
    <x v="52"/>
    <x v="52"/>
    <x v="2"/>
    <x v="51"/>
    <x v="51"/>
    <x v="0"/>
    <x v="1"/>
    <x v="2"/>
    <x v="0"/>
    <x v="1"/>
    <x v="1"/>
    <x v="0"/>
    <x v="0"/>
    <x v="2"/>
    <x v="0"/>
    <x v="2"/>
  </r>
  <r>
    <x v="53"/>
    <x v="53"/>
    <x v="1"/>
    <x v="52"/>
    <x v="52"/>
    <x v="0"/>
    <x v="0"/>
    <x v="1"/>
    <x v="1"/>
    <x v="1"/>
    <x v="1"/>
    <x v="1"/>
    <x v="1"/>
    <x v="1"/>
    <x v="1"/>
    <x v="1"/>
  </r>
  <r>
    <x v="54"/>
    <x v="54"/>
    <x v="0"/>
    <x v="53"/>
    <x v="53"/>
    <x v="0"/>
    <x v="1"/>
    <x v="0"/>
    <x v="0"/>
    <x v="0"/>
    <x v="0"/>
    <x v="0"/>
    <x v="0"/>
    <x v="7"/>
    <x v="0"/>
    <x v="8"/>
  </r>
  <r>
    <x v="55"/>
    <x v="55"/>
    <x v="2"/>
    <x v="54"/>
    <x v="54"/>
    <x v="0"/>
    <x v="0"/>
    <x v="2"/>
    <x v="2"/>
    <x v="1"/>
    <x v="1"/>
    <x v="0"/>
    <x v="0"/>
    <x v="6"/>
    <x v="0"/>
    <x v="7"/>
  </r>
  <r>
    <x v="56"/>
    <x v="56"/>
    <x v="1"/>
    <x v="55"/>
    <x v="55"/>
    <x v="0"/>
    <x v="1"/>
    <x v="1"/>
    <x v="0"/>
    <x v="1"/>
    <x v="1"/>
    <x v="1"/>
    <x v="1"/>
    <x v="4"/>
    <x v="0"/>
    <x v="4"/>
  </r>
  <r>
    <x v="57"/>
    <x v="57"/>
    <x v="0"/>
    <x v="56"/>
    <x v="56"/>
    <x v="0"/>
    <x v="0"/>
    <x v="0"/>
    <x v="1"/>
    <x v="0"/>
    <x v="0"/>
    <x v="0"/>
    <x v="0"/>
    <x v="3"/>
    <x v="0"/>
    <x v="3"/>
  </r>
  <r>
    <x v="58"/>
    <x v="58"/>
    <x v="2"/>
    <x v="57"/>
    <x v="57"/>
    <x v="0"/>
    <x v="1"/>
    <x v="2"/>
    <x v="0"/>
    <x v="1"/>
    <x v="1"/>
    <x v="0"/>
    <x v="0"/>
    <x v="2"/>
    <x v="0"/>
    <x v="2"/>
  </r>
  <r>
    <x v="59"/>
    <x v="59"/>
    <x v="1"/>
    <x v="58"/>
    <x v="58"/>
    <x v="0"/>
    <x v="0"/>
    <x v="1"/>
    <x v="2"/>
    <x v="1"/>
    <x v="1"/>
    <x v="1"/>
    <x v="1"/>
    <x v="1"/>
    <x v="1"/>
    <x v="1"/>
  </r>
  <r>
    <x v="60"/>
    <x v="60"/>
    <x v="0"/>
    <x v="59"/>
    <x v="59"/>
    <x v="0"/>
    <x v="1"/>
    <x v="0"/>
    <x v="0"/>
    <x v="0"/>
    <x v="0"/>
    <x v="0"/>
    <x v="0"/>
    <x v="0"/>
    <x v="0"/>
    <x v="0"/>
  </r>
  <r>
    <x v="61"/>
    <x v="61"/>
    <x v="2"/>
    <x v="60"/>
    <x v="60"/>
    <x v="0"/>
    <x v="0"/>
    <x v="2"/>
    <x v="1"/>
    <x v="1"/>
    <x v="1"/>
    <x v="0"/>
    <x v="0"/>
    <x v="6"/>
    <x v="0"/>
    <x v="7"/>
  </r>
  <r>
    <x v="62"/>
    <x v="62"/>
    <x v="1"/>
    <x v="61"/>
    <x v="61"/>
    <x v="0"/>
    <x v="1"/>
    <x v="1"/>
    <x v="0"/>
    <x v="1"/>
    <x v="1"/>
    <x v="1"/>
    <x v="1"/>
    <x v="4"/>
    <x v="0"/>
    <x v="4"/>
  </r>
  <r>
    <x v="63"/>
    <x v="63"/>
    <x v="0"/>
    <x v="62"/>
    <x v="62"/>
    <x v="0"/>
    <x v="0"/>
    <x v="0"/>
    <x v="2"/>
    <x v="0"/>
    <x v="0"/>
    <x v="0"/>
    <x v="0"/>
    <x v="7"/>
    <x v="0"/>
    <x v="8"/>
  </r>
  <r>
    <x v="64"/>
    <x v="64"/>
    <x v="2"/>
    <x v="63"/>
    <x v="63"/>
    <x v="0"/>
    <x v="1"/>
    <x v="2"/>
    <x v="0"/>
    <x v="1"/>
    <x v="1"/>
    <x v="0"/>
    <x v="0"/>
    <x v="0"/>
    <x v="0"/>
    <x v="13"/>
  </r>
  <r>
    <x v="65"/>
    <x v="65"/>
    <x v="1"/>
    <x v="64"/>
    <x v="64"/>
    <x v="0"/>
    <x v="1"/>
    <x v="1"/>
    <x v="0"/>
    <x v="1"/>
    <x v="1"/>
    <x v="1"/>
    <x v="1"/>
    <x v="1"/>
    <x v="1"/>
    <x v="1"/>
  </r>
  <r>
    <x v="66"/>
    <x v="66"/>
    <x v="0"/>
    <x v="65"/>
    <x v="65"/>
    <x v="0"/>
    <x v="0"/>
    <x v="0"/>
    <x v="2"/>
    <x v="0"/>
    <x v="0"/>
    <x v="0"/>
    <x v="0"/>
    <x v="10"/>
    <x v="0"/>
    <x v="12"/>
  </r>
  <r>
    <x v="67"/>
    <x v="67"/>
    <x v="2"/>
    <x v="66"/>
    <x v="66"/>
    <x v="0"/>
    <x v="1"/>
    <x v="2"/>
    <x v="1"/>
    <x v="1"/>
    <x v="1"/>
    <x v="0"/>
    <x v="0"/>
    <x v="2"/>
    <x v="0"/>
    <x v="2"/>
  </r>
  <r>
    <x v="68"/>
    <x v="68"/>
    <x v="1"/>
    <x v="67"/>
    <x v="67"/>
    <x v="0"/>
    <x v="0"/>
    <x v="1"/>
    <x v="2"/>
    <x v="1"/>
    <x v="1"/>
    <x v="1"/>
    <x v="1"/>
    <x v="4"/>
    <x v="0"/>
    <x v="4"/>
  </r>
  <r>
    <x v="69"/>
    <x v="69"/>
    <x v="0"/>
    <x v="68"/>
    <x v="68"/>
    <x v="0"/>
    <x v="1"/>
    <x v="0"/>
    <x v="0"/>
    <x v="0"/>
    <x v="0"/>
    <x v="0"/>
    <x v="0"/>
    <x v="6"/>
    <x v="0"/>
    <x v="14"/>
  </r>
  <r>
    <x v="70"/>
    <x v="70"/>
    <x v="2"/>
    <x v="69"/>
    <x v="69"/>
    <x v="0"/>
    <x v="0"/>
    <x v="2"/>
    <x v="0"/>
    <x v="1"/>
    <x v="1"/>
    <x v="0"/>
    <x v="0"/>
    <x v="0"/>
    <x v="0"/>
    <x v="13"/>
  </r>
  <r>
    <x v="71"/>
    <x v="71"/>
    <x v="1"/>
    <x v="70"/>
    <x v="70"/>
    <x v="0"/>
    <x v="1"/>
    <x v="1"/>
    <x v="1"/>
    <x v="1"/>
    <x v="1"/>
    <x v="1"/>
    <x v="1"/>
    <x v="1"/>
    <x v="1"/>
    <x v="1"/>
  </r>
  <r>
    <x v="72"/>
    <x v="72"/>
    <x v="0"/>
    <x v="71"/>
    <x v="71"/>
    <x v="0"/>
    <x v="0"/>
    <x v="0"/>
    <x v="2"/>
    <x v="0"/>
    <x v="0"/>
    <x v="0"/>
    <x v="0"/>
    <x v="7"/>
    <x v="0"/>
    <x v="8"/>
  </r>
  <r>
    <x v="73"/>
    <x v="73"/>
    <x v="2"/>
    <x v="72"/>
    <x v="72"/>
    <x v="0"/>
    <x v="1"/>
    <x v="2"/>
    <x v="2"/>
    <x v="1"/>
    <x v="1"/>
    <x v="0"/>
    <x v="0"/>
    <x v="9"/>
    <x v="0"/>
    <x v="10"/>
  </r>
  <r>
    <x v="74"/>
    <x v="74"/>
    <x v="1"/>
    <x v="73"/>
    <x v="73"/>
    <x v="0"/>
    <x v="0"/>
    <x v="1"/>
    <x v="0"/>
    <x v="1"/>
    <x v="1"/>
    <x v="1"/>
    <x v="1"/>
    <x v="5"/>
    <x v="0"/>
    <x v="11"/>
  </r>
  <r>
    <x v="75"/>
    <x v="75"/>
    <x v="0"/>
    <x v="74"/>
    <x v="74"/>
    <x v="0"/>
    <x v="1"/>
    <x v="0"/>
    <x v="1"/>
    <x v="0"/>
    <x v="0"/>
    <x v="0"/>
    <x v="0"/>
    <x v="0"/>
    <x v="0"/>
    <x v="0"/>
  </r>
  <r>
    <x v="76"/>
    <x v="76"/>
    <x v="2"/>
    <x v="75"/>
    <x v="75"/>
    <x v="0"/>
    <x v="0"/>
    <x v="2"/>
    <x v="0"/>
    <x v="1"/>
    <x v="1"/>
    <x v="0"/>
    <x v="0"/>
    <x v="2"/>
    <x v="0"/>
    <x v="2"/>
  </r>
  <r>
    <x v="77"/>
    <x v="77"/>
    <x v="1"/>
    <x v="76"/>
    <x v="76"/>
    <x v="0"/>
    <x v="1"/>
    <x v="1"/>
    <x v="2"/>
    <x v="1"/>
    <x v="1"/>
    <x v="1"/>
    <x v="1"/>
    <x v="1"/>
    <x v="1"/>
    <x v="1"/>
  </r>
  <r>
    <x v="78"/>
    <x v="78"/>
    <x v="0"/>
    <x v="77"/>
    <x v="77"/>
    <x v="0"/>
    <x v="0"/>
    <x v="0"/>
    <x v="0"/>
    <x v="0"/>
    <x v="0"/>
    <x v="0"/>
    <x v="0"/>
    <x v="3"/>
    <x v="0"/>
    <x v="3"/>
  </r>
  <r>
    <x v="79"/>
    <x v="79"/>
    <x v="2"/>
    <x v="78"/>
    <x v="78"/>
    <x v="0"/>
    <x v="1"/>
    <x v="2"/>
    <x v="1"/>
    <x v="1"/>
    <x v="1"/>
    <x v="0"/>
    <x v="0"/>
    <x v="6"/>
    <x v="0"/>
    <x v="7"/>
  </r>
  <r>
    <x v="80"/>
    <x v="80"/>
    <x v="1"/>
    <x v="79"/>
    <x v="79"/>
    <x v="0"/>
    <x v="0"/>
    <x v="1"/>
    <x v="0"/>
    <x v="1"/>
    <x v="1"/>
    <x v="1"/>
    <x v="1"/>
    <x v="4"/>
    <x v="0"/>
    <x v="4"/>
  </r>
  <r>
    <x v="81"/>
    <x v="81"/>
    <x v="0"/>
    <x v="80"/>
    <x v="80"/>
    <x v="0"/>
    <x v="1"/>
    <x v="0"/>
    <x v="2"/>
    <x v="0"/>
    <x v="0"/>
    <x v="0"/>
    <x v="0"/>
    <x v="10"/>
    <x v="0"/>
    <x v="12"/>
  </r>
  <r>
    <x v="82"/>
    <x v="82"/>
    <x v="2"/>
    <x v="81"/>
    <x v="81"/>
    <x v="0"/>
    <x v="0"/>
    <x v="2"/>
    <x v="0"/>
    <x v="1"/>
    <x v="1"/>
    <x v="0"/>
    <x v="0"/>
    <x v="2"/>
    <x v="0"/>
    <x v="2"/>
  </r>
  <r>
    <x v="83"/>
    <x v="83"/>
    <x v="1"/>
    <x v="82"/>
    <x v="82"/>
    <x v="0"/>
    <x v="1"/>
    <x v="1"/>
    <x v="1"/>
    <x v="1"/>
    <x v="1"/>
    <x v="1"/>
    <x v="1"/>
    <x v="1"/>
    <x v="1"/>
    <x v="1"/>
  </r>
  <r>
    <x v="84"/>
    <x v="84"/>
    <x v="0"/>
    <x v="83"/>
    <x v="83"/>
    <x v="0"/>
    <x v="0"/>
    <x v="0"/>
    <x v="0"/>
    <x v="0"/>
    <x v="0"/>
    <x v="0"/>
    <x v="0"/>
    <x v="7"/>
    <x v="0"/>
    <x v="8"/>
  </r>
  <r>
    <x v="85"/>
    <x v="85"/>
    <x v="2"/>
    <x v="84"/>
    <x v="84"/>
    <x v="0"/>
    <x v="1"/>
    <x v="2"/>
    <x v="2"/>
    <x v="1"/>
    <x v="1"/>
    <x v="0"/>
    <x v="0"/>
    <x v="6"/>
    <x v="0"/>
    <x v="7"/>
  </r>
  <r>
    <x v="86"/>
    <x v="86"/>
    <x v="1"/>
    <x v="85"/>
    <x v="85"/>
    <x v="0"/>
    <x v="0"/>
    <x v="1"/>
    <x v="0"/>
    <x v="1"/>
    <x v="1"/>
    <x v="1"/>
    <x v="1"/>
    <x v="4"/>
    <x v="0"/>
    <x v="4"/>
  </r>
  <r>
    <x v="87"/>
    <x v="87"/>
    <x v="0"/>
    <x v="86"/>
    <x v="86"/>
    <x v="0"/>
    <x v="1"/>
    <x v="0"/>
    <x v="1"/>
    <x v="0"/>
    <x v="0"/>
    <x v="0"/>
    <x v="0"/>
    <x v="3"/>
    <x v="0"/>
    <x v="3"/>
  </r>
  <r>
    <x v="88"/>
    <x v="88"/>
    <x v="2"/>
    <x v="87"/>
    <x v="87"/>
    <x v="0"/>
    <x v="0"/>
    <x v="2"/>
    <x v="0"/>
    <x v="1"/>
    <x v="1"/>
    <x v="0"/>
    <x v="0"/>
    <x v="2"/>
    <x v="0"/>
    <x v="2"/>
  </r>
  <r>
    <x v="89"/>
    <x v="89"/>
    <x v="1"/>
    <x v="88"/>
    <x v="88"/>
    <x v="0"/>
    <x v="1"/>
    <x v="1"/>
    <x v="2"/>
    <x v="1"/>
    <x v="1"/>
    <x v="1"/>
    <x v="1"/>
    <x v="1"/>
    <x v="1"/>
    <x v="1"/>
  </r>
  <r>
    <x v="90"/>
    <x v="90"/>
    <x v="0"/>
    <x v="89"/>
    <x v="89"/>
    <x v="0"/>
    <x v="0"/>
    <x v="0"/>
    <x v="0"/>
    <x v="0"/>
    <x v="0"/>
    <x v="0"/>
    <x v="0"/>
    <x v="0"/>
    <x v="0"/>
    <x v="0"/>
  </r>
  <r>
    <x v="91"/>
    <x v="91"/>
    <x v="2"/>
    <x v="90"/>
    <x v="90"/>
    <x v="0"/>
    <x v="1"/>
    <x v="2"/>
    <x v="1"/>
    <x v="1"/>
    <x v="1"/>
    <x v="0"/>
    <x v="0"/>
    <x v="6"/>
    <x v="0"/>
    <x v="7"/>
  </r>
  <r>
    <x v="92"/>
    <x v="92"/>
    <x v="1"/>
    <x v="91"/>
    <x v="91"/>
    <x v="0"/>
    <x v="0"/>
    <x v="1"/>
    <x v="0"/>
    <x v="1"/>
    <x v="1"/>
    <x v="1"/>
    <x v="1"/>
    <x v="4"/>
    <x v="0"/>
    <x v="4"/>
  </r>
  <r>
    <x v="93"/>
    <x v="93"/>
    <x v="0"/>
    <x v="92"/>
    <x v="92"/>
    <x v="0"/>
    <x v="1"/>
    <x v="0"/>
    <x v="2"/>
    <x v="0"/>
    <x v="0"/>
    <x v="0"/>
    <x v="0"/>
    <x v="7"/>
    <x v="0"/>
    <x v="8"/>
  </r>
  <r>
    <x v="94"/>
    <x v="94"/>
    <x v="2"/>
    <x v="93"/>
    <x v="93"/>
    <x v="0"/>
    <x v="0"/>
    <x v="2"/>
    <x v="2"/>
    <x v="1"/>
    <x v="1"/>
    <x v="0"/>
    <x v="0"/>
    <x v="6"/>
    <x v="0"/>
    <x v="7"/>
  </r>
  <r>
    <x v="95"/>
    <x v="95"/>
    <x v="1"/>
    <x v="94"/>
    <x v="94"/>
    <x v="0"/>
    <x v="1"/>
    <x v="1"/>
    <x v="1"/>
    <x v="1"/>
    <x v="1"/>
    <x v="1"/>
    <x v="1"/>
    <x v="1"/>
    <x v="1"/>
    <x v="1"/>
  </r>
  <r>
    <x v="96"/>
    <x v="96"/>
    <x v="0"/>
    <x v="95"/>
    <x v="6"/>
    <x v="0"/>
    <x v="0"/>
    <x v="0"/>
    <x v="0"/>
    <x v="0"/>
    <x v="0"/>
    <x v="0"/>
    <x v="0"/>
    <x v="10"/>
    <x v="0"/>
    <x v="12"/>
  </r>
  <r>
    <x v="97"/>
    <x v="97"/>
    <x v="2"/>
    <x v="96"/>
    <x v="95"/>
    <x v="0"/>
    <x v="1"/>
    <x v="2"/>
    <x v="1"/>
    <x v="1"/>
    <x v="1"/>
    <x v="0"/>
    <x v="0"/>
    <x v="2"/>
    <x v="0"/>
    <x v="2"/>
  </r>
  <r>
    <x v="98"/>
    <x v="98"/>
    <x v="1"/>
    <x v="97"/>
    <x v="96"/>
    <x v="0"/>
    <x v="0"/>
    <x v="1"/>
    <x v="2"/>
    <x v="1"/>
    <x v="1"/>
    <x v="1"/>
    <x v="1"/>
    <x v="4"/>
    <x v="0"/>
    <x v="4"/>
  </r>
  <r>
    <x v="99"/>
    <x v="99"/>
    <x v="0"/>
    <x v="98"/>
    <x v="8"/>
    <x v="0"/>
    <x v="1"/>
    <x v="0"/>
    <x v="0"/>
    <x v="0"/>
    <x v="0"/>
    <x v="0"/>
    <x v="0"/>
    <x v="6"/>
    <x v="0"/>
    <x v="14"/>
  </r>
  <r>
    <x v="100"/>
    <x v="100"/>
    <x v="2"/>
    <x v="99"/>
    <x v="97"/>
    <x v="0"/>
    <x v="0"/>
    <x v="2"/>
    <x v="0"/>
    <x v="1"/>
    <x v="1"/>
    <x v="0"/>
    <x v="0"/>
    <x v="0"/>
    <x v="0"/>
    <x v="13"/>
  </r>
  <r>
    <x v="101"/>
    <x v="101"/>
    <x v="1"/>
    <x v="100"/>
    <x v="98"/>
    <x v="0"/>
    <x v="1"/>
    <x v="1"/>
    <x v="1"/>
    <x v="1"/>
    <x v="1"/>
    <x v="1"/>
    <x v="1"/>
    <x v="1"/>
    <x v="1"/>
    <x v="1"/>
  </r>
  <r>
    <x v="102"/>
    <x v="102"/>
    <x v="0"/>
    <x v="101"/>
    <x v="99"/>
    <x v="0"/>
    <x v="0"/>
    <x v="0"/>
    <x v="2"/>
    <x v="0"/>
    <x v="0"/>
    <x v="0"/>
    <x v="0"/>
    <x v="7"/>
    <x v="0"/>
    <x v="8"/>
  </r>
  <r>
    <x v="103"/>
    <x v="103"/>
    <x v="2"/>
    <x v="102"/>
    <x v="100"/>
    <x v="0"/>
    <x v="1"/>
    <x v="2"/>
    <x v="2"/>
    <x v="1"/>
    <x v="1"/>
    <x v="0"/>
    <x v="0"/>
    <x v="9"/>
    <x v="0"/>
    <x v="10"/>
  </r>
  <r>
    <x v="104"/>
    <x v="104"/>
    <x v="1"/>
    <x v="103"/>
    <x v="101"/>
    <x v="0"/>
    <x v="0"/>
    <x v="1"/>
    <x v="0"/>
    <x v="1"/>
    <x v="1"/>
    <x v="1"/>
    <x v="1"/>
    <x v="5"/>
    <x v="0"/>
    <x v="11"/>
  </r>
  <r>
    <x v="105"/>
    <x v="105"/>
    <x v="1"/>
    <x v="104"/>
    <x v="102"/>
    <x v="0"/>
    <x v="0"/>
    <x v="1"/>
    <x v="0"/>
    <x v="1"/>
    <x v="1"/>
    <x v="1"/>
    <x v="1"/>
    <x v="1"/>
    <x v="1"/>
    <x v="1"/>
  </r>
  <r>
    <x v="106"/>
    <x v="106"/>
    <x v="0"/>
    <x v="105"/>
    <x v="103"/>
    <x v="0"/>
    <x v="1"/>
    <x v="0"/>
    <x v="2"/>
    <x v="0"/>
    <x v="0"/>
    <x v="0"/>
    <x v="0"/>
    <x v="10"/>
    <x v="0"/>
    <x v="12"/>
  </r>
  <r>
    <x v="107"/>
    <x v="107"/>
    <x v="2"/>
    <x v="106"/>
    <x v="104"/>
    <x v="0"/>
    <x v="0"/>
    <x v="2"/>
    <x v="1"/>
    <x v="1"/>
    <x v="1"/>
    <x v="0"/>
    <x v="0"/>
    <x v="2"/>
    <x v="0"/>
    <x v="2"/>
  </r>
  <r>
    <x v="108"/>
    <x v="108"/>
    <x v="1"/>
    <x v="107"/>
    <x v="105"/>
    <x v="0"/>
    <x v="1"/>
    <x v="1"/>
    <x v="2"/>
    <x v="1"/>
    <x v="1"/>
    <x v="1"/>
    <x v="1"/>
    <x v="4"/>
    <x v="0"/>
    <x v="4"/>
  </r>
  <r>
    <x v="109"/>
    <x v="109"/>
    <x v="0"/>
    <x v="108"/>
    <x v="106"/>
    <x v="0"/>
    <x v="0"/>
    <x v="0"/>
    <x v="0"/>
    <x v="0"/>
    <x v="0"/>
    <x v="0"/>
    <x v="0"/>
    <x v="6"/>
    <x v="0"/>
    <x v="14"/>
  </r>
  <r>
    <x v="110"/>
    <x v="110"/>
    <x v="2"/>
    <x v="109"/>
    <x v="107"/>
    <x v="0"/>
    <x v="1"/>
    <x v="2"/>
    <x v="0"/>
    <x v="1"/>
    <x v="1"/>
    <x v="0"/>
    <x v="0"/>
    <x v="0"/>
    <x v="0"/>
    <x v="13"/>
  </r>
  <r>
    <x v="111"/>
    <x v="111"/>
    <x v="1"/>
    <x v="110"/>
    <x v="108"/>
    <x v="0"/>
    <x v="0"/>
    <x v="1"/>
    <x v="1"/>
    <x v="1"/>
    <x v="1"/>
    <x v="1"/>
    <x v="1"/>
    <x v="1"/>
    <x v="1"/>
    <x v="1"/>
  </r>
  <r>
    <x v="112"/>
    <x v="112"/>
    <x v="0"/>
    <x v="111"/>
    <x v="109"/>
    <x v="0"/>
    <x v="1"/>
    <x v="0"/>
    <x v="2"/>
    <x v="0"/>
    <x v="0"/>
    <x v="0"/>
    <x v="0"/>
    <x v="7"/>
    <x v="0"/>
    <x v="8"/>
  </r>
  <r>
    <x v="113"/>
    <x v="113"/>
    <x v="2"/>
    <x v="112"/>
    <x v="110"/>
    <x v="0"/>
    <x v="0"/>
    <x v="2"/>
    <x v="2"/>
    <x v="1"/>
    <x v="1"/>
    <x v="0"/>
    <x v="0"/>
    <x v="9"/>
    <x v="0"/>
    <x v="10"/>
  </r>
  <r>
    <x v="114"/>
    <x v="114"/>
    <x v="1"/>
    <x v="113"/>
    <x v="111"/>
    <x v="0"/>
    <x v="1"/>
    <x v="1"/>
    <x v="0"/>
    <x v="1"/>
    <x v="1"/>
    <x v="1"/>
    <x v="1"/>
    <x v="5"/>
    <x v="0"/>
    <x v="11"/>
  </r>
  <r>
    <x v="115"/>
    <x v="115"/>
    <x v="0"/>
    <x v="114"/>
    <x v="112"/>
    <x v="0"/>
    <x v="0"/>
    <x v="0"/>
    <x v="1"/>
    <x v="0"/>
    <x v="0"/>
    <x v="0"/>
    <x v="0"/>
    <x v="0"/>
    <x v="0"/>
    <x v="0"/>
  </r>
  <r>
    <x v="116"/>
    <x v="116"/>
    <x v="2"/>
    <x v="115"/>
    <x v="113"/>
    <x v="0"/>
    <x v="1"/>
    <x v="2"/>
    <x v="0"/>
    <x v="1"/>
    <x v="1"/>
    <x v="0"/>
    <x v="0"/>
    <x v="2"/>
    <x v="0"/>
    <x v="2"/>
  </r>
  <r>
    <x v="117"/>
    <x v="117"/>
    <x v="1"/>
    <x v="116"/>
    <x v="114"/>
    <x v="0"/>
    <x v="0"/>
    <x v="1"/>
    <x v="2"/>
    <x v="1"/>
    <x v="1"/>
    <x v="1"/>
    <x v="1"/>
    <x v="1"/>
    <x v="1"/>
    <x v="1"/>
  </r>
  <r>
    <x v="118"/>
    <x v="93"/>
    <x v="0"/>
    <x v="117"/>
    <x v="115"/>
    <x v="0"/>
    <x v="1"/>
    <x v="0"/>
    <x v="0"/>
    <x v="0"/>
    <x v="0"/>
    <x v="0"/>
    <x v="0"/>
    <x v="3"/>
    <x v="0"/>
    <x v="3"/>
  </r>
  <r>
    <x v="119"/>
    <x v="118"/>
    <x v="2"/>
    <x v="118"/>
    <x v="116"/>
    <x v="0"/>
    <x v="0"/>
    <x v="2"/>
    <x v="1"/>
    <x v="1"/>
    <x v="1"/>
    <x v="0"/>
    <x v="0"/>
    <x v="6"/>
    <x v="0"/>
    <x v="7"/>
  </r>
  <r>
    <x v="120"/>
    <x v="119"/>
    <x v="1"/>
    <x v="119"/>
    <x v="117"/>
    <x v="0"/>
    <x v="1"/>
    <x v="1"/>
    <x v="0"/>
    <x v="1"/>
    <x v="1"/>
    <x v="1"/>
    <x v="1"/>
    <x v="4"/>
    <x v="0"/>
    <x v="4"/>
  </r>
  <r>
    <x v="121"/>
    <x v="120"/>
    <x v="0"/>
    <x v="120"/>
    <x v="118"/>
    <x v="0"/>
    <x v="0"/>
    <x v="0"/>
    <x v="2"/>
    <x v="0"/>
    <x v="0"/>
    <x v="0"/>
    <x v="0"/>
    <x v="10"/>
    <x v="0"/>
    <x v="12"/>
  </r>
  <r>
    <x v="122"/>
    <x v="121"/>
    <x v="2"/>
    <x v="121"/>
    <x v="119"/>
    <x v="0"/>
    <x v="1"/>
    <x v="2"/>
    <x v="0"/>
    <x v="1"/>
    <x v="1"/>
    <x v="0"/>
    <x v="0"/>
    <x v="2"/>
    <x v="0"/>
    <x v="2"/>
  </r>
  <r>
    <x v="123"/>
    <x v="122"/>
    <x v="1"/>
    <x v="122"/>
    <x v="120"/>
    <x v="0"/>
    <x v="0"/>
    <x v="1"/>
    <x v="1"/>
    <x v="1"/>
    <x v="1"/>
    <x v="1"/>
    <x v="1"/>
    <x v="1"/>
    <x v="1"/>
    <x v="1"/>
  </r>
  <r>
    <x v="124"/>
    <x v="123"/>
    <x v="0"/>
    <x v="123"/>
    <x v="121"/>
    <x v="0"/>
    <x v="1"/>
    <x v="0"/>
    <x v="0"/>
    <x v="0"/>
    <x v="0"/>
    <x v="0"/>
    <x v="0"/>
    <x v="7"/>
    <x v="0"/>
    <x v="8"/>
  </r>
  <r>
    <x v="125"/>
    <x v="124"/>
    <x v="2"/>
    <x v="124"/>
    <x v="122"/>
    <x v="0"/>
    <x v="0"/>
    <x v="2"/>
    <x v="2"/>
    <x v="1"/>
    <x v="1"/>
    <x v="0"/>
    <x v="0"/>
    <x v="6"/>
    <x v="0"/>
    <x v="7"/>
  </r>
  <r>
    <x v="126"/>
    <x v="125"/>
    <x v="1"/>
    <x v="125"/>
    <x v="35"/>
    <x v="0"/>
    <x v="1"/>
    <x v="1"/>
    <x v="0"/>
    <x v="1"/>
    <x v="1"/>
    <x v="1"/>
    <x v="1"/>
    <x v="4"/>
    <x v="0"/>
    <x v="4"/>
  </r>
  <r>
    <x v="127"/>
    <x v="126"/>
    <x v="0"/>
    <x v="126"/>
    <x v="123"/>
    <x v="0"/>
    <x v="0"/>
    <x v="0"/>
    <x v="1"/>
    <x v="0"/>
    <x v="0"/>
    <x v="0"/>
    <x v="0"/>
    <x v="3"/>
    <x v="0"/>
    <x v="3"/>
  </r>
  <r>
    <x v="128"/>
    <x v="127"/>
    <x v="2"/>
    <x v="127"/>
    <x v="37"/>
    <x v="0"/>
    <x v="1"/>
    <x v="2"/>
    <x v="0"/>
    <x v="1"/>
    <x v="1"/>
    <x v="0"/>
    <x v="0"/>
    <x v="2"/>
    <x v="0"/>
    <x v="2"/>
  </r>
  <r>
    <x v="129"/>
    <x v="128"/>
    <x v="1"/>
    <x v="128"/>
    <x v="124"/>
    <x v="0"/>
    <x v="0"/>
    <x v="1"/>
    <x v="2"/>
    <x v="1"/>
    <x v="1"/>
    <x v="1"/>
    <x v="1"/>
    <x v="1"/>
    <x v="1"/>
    <x v="1"/>
  </r>
  <r>
    <x v="130"/>
    <x v="129"/>
    <x v="0"/>
    <x v="129"/>
    <x v="125"/>
    <x v="0"/>
    <x v="1"/>
    <x v="0"/>
    <x v="0"/>
    <x v="0"/>
    <x v="0"/>
    <x v="0"/>
    <x v="0"/>
    <x v="6"/>
    <x v="0"/>
    <x v="14"/>
  </r>
  <r>
    <x v="131"/>
    <x v="130"/>
    <x v="2"/>
    <x v="130"/>
    <x v="126"/>
    <x v="0"/>
    <x v="0"/>
    <x v="2"/>
    <x v="1"/>
    <x v="1"/>
    <x v="1"/>
    <x v="0"/>
    <x v="0"/>
    <x v="6"/>
    <x v="0"/>
    <x v="7"/>
  </r>
  <r>
    <x v="132"/>
    <x v="131"/>
    <x v="1"/>
    <x v="131"/>
    <x v="41"/>
    <x v="0"/>
    <x v="1"/>
    <x v="1"/>
    <x v="0"/>
    <x v="1"/>
    <x v="1"/>
    <x v="1"/>
    <x v="1"/>
    <x v="4"/>
    <x v="0"/>
    <x v="4"/>
  </r>
  <r>
    <x v="133"/>
    <x v="132"/>
    <x v="0"/>
    <x v="132"/>
    <x v="127"/>
    <x v="0"/>
    <x v="0"/>
    <x v="0"/>
    <x v="2"/>
    <x v="0"/>
    <x v="0"/>
    <x v="0"/>
    <x v="0"/>
    <x v="10"/>
    <x v="0"/>
    <x v="12"/>
  </r>
  <r>
    <x v="134"/>
    <x v="133"/>
    <x v="2"/>
    <x v="133"/>
    <x v="128"/>
    <x v="0"/>
    <x v="1"/>
    <x v="2"/>
    <x v="0"/>
    <x v="1"/>
    <x v="1"/>
    <x v="0"/>
    <x v="0"/>
    <x v="2"/>
    <x v="0"/>
    <x v="2"/>
  </r>
  <r>
    <x v="135"/>
    <x v="134"/>
    <x v="1"/>
    <x v="134"/>
    <x v="129"/>
    <x v="0"/>
    <x v="0"/>
    <x v="1"/>
    <x v="0"/>
    <x v="1"/>
    <x v="1"/>
    <x v="1"/>
    <x v="1"/>
    <x v="1"/>
    <x v="1"/>
    <x v="1"/>
  </r>
  <r>
    <x v="136"/>
    <x v="135"/>
    <x v="0"/>
    <x v="135"/>
    <x v="130"/>
    <x v="0"/>
    <x v="1"/>
    <x v="0"/>
    <x v="2"/>
    <x v="0"/>
    <x v="0"/>
    <x v="0"/>
    <x v="0"/>
    <x v="10"/>
    <x v="0"/>
    <x v="12"/>
  </r>
  <r>
    <x v="137"/>
    <x v="136"/>
    <x v="2"/>
    <x v="136"/>
    <x v="131"/>
    <x v="0"/>
    <x v="0"/>
    <x v="2"/>
    <x v="1"/>
    <x v="1"/>
    <x v="1"/>
    <x v="0"/>
    <x v="0"/>
    <x v="2"/>
    <x v="0"/>
    <x v="2"/>
  </r>
  <r>
    <x v="138"/>
    <x v="137"/>
    <x v="1"/>
    <x v="137"/>
    <x v="132"/>
    <x v="0"/>
    <x v="1"/>
    <x v="1"/>
    <x v="2"/>
    <x v="1"/>
    <x v="1"/>
    <x v="1"/>
    <x v="1"/>
    <x v="4"/>
    <x v="0"/>
    <x v="4"/>
  </r>
  <r>
    <x v="139"/>
    <x v="138"/>
    <x v="0"/>
    <x v="138"/>
    <x v="133"/>
    <x v="0"/>
    <x v="0"/>
    <x v="0"/>
    <x v="0"/>
    <x v="0"/>
    <x v="0"/>
    <x v="0"/>
    <x v="0"/>
    <x v="6"/>
    <x v="0"/>
    <x v="14"/>
  </r>
  <r>
    <x v="140"/>
    <x v="139"/>
    <x v="2"/>
    <x v="139"/>
    <x v="134"/>
    <x v="0"/>
    <x v="1"/>
    <x v="2"/>
    <x v="0"/>
    <x v="1"/>
    <x v="1"/>
    <x v="0"/>
    <x v="0"/>
    <x v="0"/>
    <x v="0"/>
    <x v="13"/>
  </r>
  <r>
    <x v="141"/>
    <x v="140"/>
    <x v="1"/>
    <x v="140"/>
    <x v="135"/>
    <x v="0"/>
    <x v="0"/>
    <x v="1"/>
    <x v="1"/>
    <x v="1"/>
    <x v="1"/>
    <x v="1"/>
    <x v="1"/>
    <x v="1"/>
    <x v="1"/>
    <x v="1"/>
  </r>
  <r>
    <x v="142"/>
    <x v="141"/>
    <x v="0"/>
    <x v="141"/>
    <x v="136"/>
    <x v="0"/>
    <x v="1"/>
    <x v="0"/>
    <x v="2"/>
    <x v="0"/>
    <x v="0"/>
    <x v="0"/>
    <x v="0"/>
    <x v="7"/>
    <x v="0"/>
    <x v="8"/>
  </r>
  <r>
    <x v="143"/>
    <x v="142"/>
    <x v="2"/>
    <x v="142"/>
    <x v="137"/>
    <x v="0"/>
    <x v="0"/>
    <x v="2"/>
    <x v="2"/>
    <x v="1"/>
    <x v="1"/>
    <x v="0"/>
    <x v="0"/>
    <x v="9"/>
    <x v="0"/>
    <x v="10"/>
  </r>
  <r>
    <x v="144"/>
    <x v="143"/>
    <x v="1"/>
    <x v="143"/>
    <x v="138"/>
    <x v="0"/>
    <x v="1"/>
    <x v="1"/>
    <x v="0"/>
    <x v="1"/>
    <x v="1"/>
    <x v="1"/>
    <x v="1"/>
    <x v="5"/>
    <x v="0"/>
    <x v="11"/>
  </r>
  <r>
    <x v="145"/>
    <x v="144"/>
    <x v="0"/>
    <x v="144"/>
    <x v="139"/>
    <x v="0"/>
    <x v="0"/>
    <x v="0"/>
    <x v="1"/>
    <x v="0"/>
    <x v="0"/>
    <x v="0"/>
    <x v="0"/>
    <x v="0"/>
    <x v="0"/>
    <x v="0"/>
  </r>
  <r>
    <x v="146"/>
    <x v="145"/>
    <x v="2"/>
    <x v="145"/>
    <x v="140"/>
    <x v="0"/>
    <x v="1"/>
    <x v="2"/>
    <x v="0"/>
    <x v="1"/>
    <x v="1"/>
    <x v="0"/>
    <x v="0"/>
    <x v="2"/>
    <x v="0"/>
    <x v="2"/>
  </r>
  <r>
    <x v="147"/>
    <x v="146"/>
    <x v="1"/>
    <x v="146"/>
    <x v="141"/>
    <x v="0"/>
    <x v="0"/>
    <x v="1"/>
    <x v="2"/>
    <x v="1"/>
    <x v="1"/>
    <x v="1"/>
    <x v="1"/>
    <x v="1"/>
    <x v="1"/>
    <x v="1"/>
  </r>
  <r>
    <x v="148"/>
    <x v="147"/>
    <x v="0"/>
    <x v="147"/>
    <x v="142"/>
    <x v="0"/>
    <x v="1"/>
    <x v="0"/>
    <x v="0"/>
    <x v="0"/>
    <x v="0"/>
    <x v="0"/>
    <x v="0"/>
    <x v="3"/>
    <x v="0"/>
    <x v="3"/>
  </r>
  <r>
    <x v="149"/>
    <x v="148"/>
    <x v="2"/>
    <x v="148"/>
    <x v="143"/>
    <x v="0"/>
    <x v="0"/>
    <x v="2"/>
    <x v="1"/>
    <x v="1"/>
    <x v="1"/>
    <x v="0"/>
    <x v="0"/>
    <x v="6"/>
    <x v="0"/>
    <x v="7"/>
  </r>
  <r>
    <x v="150"/>
    <x v="149"/>
    <x v="1"/>
    <x v="149"/>
    <x v="144"/>
    <x v="0"/>
    <x v="1"/>
    <x v="1"/>
    <x v="0"/>
    <x v="1"/>
    <x v="1"/>
    <x v="1"/>
    <x v="1"/>
    <x v="4"/>
    <x v="0"/>
    <x v="4"/>
  </r>
  <r>
    <x v="151"/>
    <x v="150"/>
    <x v="0"/>
    <x v="150"/>
    <x v="145"/>
    <x v="0"/>
    <x v="0"/>
    <x v="0"/>
    <x v="2"/>
    <x v="0"/>
    <x v="0"/>
    <x v="0"/>
    <x v="0"/>
    <x v="10"/>
    <x v="0"/>
    <x v="12"/>
  </r>
  <r>
    <x v="152"/>
    <x v="151"/>
    <x v="2"/>
    <x v="151"/>
    <x v="146"/>
    <x v="0"/>
    <x v="1"/>
    <x v="2"/>
    <x v="0"/>
    <x v="1"/>
    <x v="1"/>
    <x v="0"/>
    <x v="0"/>
    <x v="2"/>
    <x v="0"/>
    <x v="2"/>
  </r>
  <r>
    <x v="153"/>
    <x v="152"/>
    <x v="1"/>
    <x v="152"/>
    <x v="147"/>
    <x v="0"/>
    <x v="0"/>
    <x v="1"/>
    <x v="1"/>
    <x v="1"/>
    <x v="1"/>
    <x v="1"/>
    <x v="1"/>
    <x v="1"/>
    <x v="1"/>
    <x v="1"/>
  </r>
  <r>
    <x v="154"/>
    <x v="153"/>
    <x v="0"/>
    <x v="153"/>
    <x v="148"/>
    <x v="0"/>
    <x v="1"/>
    <x v="0"/>
    <x v="0"/>
    <x v="0"/>
    <x v="0"/>
    <x v="0"/>
    <x v="0"/>
    <x v="7"/>
    <x v="0"/>
    <x v="8"/>
  </r>
  <r>
    <x v="155"/>
    <x v="154"/>
    <x v="2"/>
    <x v="154"/>
    <x v="149"/>
    <x v="0"/>
    <x v="0"/>
    <x v="2"/>
    <x v="2"/>
    <x v="1"/>
    <x v="1"/>
    <x v="0"/>
    <x v="0"/>
    <x v="6"/>
    <x v="0"/>
    <x v="7"/>
  </r>
  <r>
    <x v="156"/>
    <x v="155"/>
    <x v="1"/>
    <x v="155"/>
    <x v="65"/>
    <x v="0"/>
    <x v="1"/>
    <x v="1"/>
    <x v="0"/>
    <x v="1"/>
    <x v="1"/>
    <x v="1"/>
    <x v="1"/>
    <x v="4"/>
    <x v="0"/>
    <x v="4"/>
  </r>
  <r>
    <x v="157"/>
    <x v="156"/>
    <x v="0"/>
    <x v="156"/>
    <x v="150"/>
    <x v="0"/>
    <x v="0"/>
    <x v="0"/>
    <x v="1"/>
    <x v="0"/>
    <x v="0"/>
    <x v="0"/>
    <x v="0"/>
    <x v="3"/>
    <x v="0"/>
    <x v="3"/>
  </r>
  <r>
    <x v="158"/>
    <x v="157"/>
    <x v="2"/>
    <x v="157"/>
    <x v="67"/>
    <x v="0"/>
    <x v="1"/>
    <x v="2"/>
    <x v="0"/>
    <x v="1"/>
    <x v="1"/>
    <x v="0"/>
    <x v="0"/>
    <x v="2"/>
    <x v="0"/>
    <x v="2"/>
  </r>
  <r>
    <x v="159"/>
    <x v="158"/>
    <x v="1"/>
    <x v="158"/>
    <x v="151"/>
    <x v="0"/>
    <x v="0"/>
    <x v="1"/>
    <x v="2"/>
    <x v="1"/>
    <x v="1"/>
    <x v="1"/>
    <x v="1"/>
    <x v="1"/>
    <x v="1"/>
    <x v="1"/>
  </r>
  <r>
    <x v="160"/>
    <x v="58"/>
    <x v="0"/>
    <x v="159"/>
    <x v="152"/>
    <x v="0"/>
    <x v="1"/>
    <x v="0"/>
    <x v="0"/>
    <x v="0"/>
    <x v="0"/>
    <x v="0"/>
    <x v="0"/>
    <x v="6"/>
    <x v="0"/>
    <x v="14"/>
  </r>
  <r>
    <x v="161"/>
    <x v="159"/>
    <x v="2"/>
    <x v="160"/>
    <x v="153"/>
    <x v="0"/>
    <x v="0"/>
    <x v="2"/>
    <x v="1"/>
    <x v="1"/>
    <x v="1"/>
    <x v="0"/>
    <x v="0"/>
    <x v="6"/>
    <x v="0"/>
    <x v="7"/>
  </r>
  <r>
    <x v="162"/>
    <x v="160"/>
    <x v="1"/>
    <x v="161"/>
    <x v="71"/>
    <x v="0"/>
    <x v="1"/>
    <x v="1"/>
    <x v="0"/>
    <x v="1"/>
    <x v="1"/>
    <x v="1"/>
    <x v="1"/>
    <x v="4"/>
    <x v="0"/>
    <x v="4"/>
  </r>
  <r>
    <x v="163"/>
    <x v="161"/>
    <x v="0"/>
    <x v="162"/>
    <x v="154"/>
    <x v="0"/>
    <x v="0"/>
    <x v="0"/>
    <x v="2"/>
    <x v="0"/>
    <x v="0"/>
    <x v="0"/>
    <x v="0"/>
    <x v="10"/>
    <x v="0"/>
    <x v="12"/>
  </r>
  <r>
    <x v="164"/>
    <x v="162"/>
    <x v="2"/>
    <x v="163"/>
    <x v="155"/>
    <x v="0"/>
    <x v="1"/>
    <x v="2"/>
    <x v="0"/>
    <x v="1"/>
    <x v="1"/>
    <x v="0"/>
    <x v="0"/>
    <x v="2"/>
    <x v="0"/>
    <x v="2"/>
  </r>
  <r>
    <x v="165"/>
    <x v="163"/>
    <x v="1"/>
    <x v="164"/>
    <x v="156"/>
    <x v="0"/>
    <x v="0"/>
    <x v="1"/>
    <x v="1"/>
    <x v="1"/>
    <x v="1"/>
    <x v="1"/>
    <x v="1"/>
    <x v="1"/>
    <x v="1"/>
    <x v="1"/>
  </r>
  <r>
    <x v="166"/>
    <x v="90"/>
    <x v="0"/>
    <x v="165"/>
    <x v="157"/>
    <x v="0"/>
    <x v="1"/>
    <x v="0"/>
    <x v="0"/>
    <x v="0"/>
    <x v="0"/>
    <x v="0"/>
    <x v="0"/>
    <x v="7"/>
    <x v="0"/>
    <x v="8"/>
  </r>
  <r>
    <x v="167"/>
    <x v="164"/>
    <x v="2"/>
    <x v="166"/>
    <x v="158"/>
    <x v="0"/>
    <x v="0"/>
    <x v="2"/>
    <x v="2"/>
    <x v="1"/>
    <x v="1"/>
    <x v="0"/>
    <x v="0"/>
    <x v="6"/>
    <x v="0"/>
    <x v="7"/>
  </r>
  <r>
    <x v="168"/>
    <x v="165"/>
    <x v="1"/>
    <x v="167"/>
    <x v="159"/>
    <x v="0"/>
    <x v="1"/>
    <x v="1"/>
    <x v="0"/>
    <x v="1"/>
    <x v="1"/>
    <x v="1"/>
    <x v="1"/>
    <x v="4"/>
    <x v="0"/>
    <x v="4"/>
  </r>
  <r>
    <x v="169"/>
    <x v="166"/>
    <x v="0"/>
    <x v="168"/>
    <x v="160"/>
    <x v="0"/>
    <x v="0"/>
    <x v="0"/>
    <x v="1"/>
    <x v="0"/>
    <x v="0"/>
    <x v="0"/>
    <x v="0"/>
    <x v="0"/>
    <x v="0"/>
    <x v="0"/>
  </r>
  <r>
    <x v="170"/>
    <x v="167"/>
    <x v="2"/>
    <x v="169"/>
    <x v="161"/>
    <x v="0"/>
    <x v="1"/>
    <x v="2"/>
    <x v="0"/>
    <x v="1"/>
    <x v="1"/>
    <x v="0"/>
    <x v="0"/>
    <x v="2"/>
    <x v="0"/>
    <x v="2"/>
  </r>
  <r>
    <x v="171"/>
    <x v="168"/>
    <x v="1"/>
    <x v="170"/>
    <x v="162"/>
    <x v="0"/>
    <x v="0"/>
    <x v="1"/>
    <x v="2"/>
    <x v="1"/>
    <x v="1"/>
    <x v="1"/>
    <x v="1"/>
    <x v="1"/>
    <x v="1"/>
    <x v="1"/>
  </r>
  <r>
    <x v="172"/>
    <x v="169"/>
    <x v="0"/>
    <x v="171"/>
    <x v="163"/>
    <x v="0"/>
    <x v="1"/>
    <x v="0"/>
    <x v="0"/>
    <x v="0"/>
    <x v="0"/>
    <x v="0"/>
    <x v="0"/>
    <x v="3"/>
    <x v="0"/>
    <x v="3"/>
  </r>
  <r>
    <x v="173"/>
    <x v="170"/>
    <x v="2"/>
    <x v="172"/>
    <x v="164"/>
    <x v="0"/>
    <x v="0"/>
    <x v="2"/>
    <x v="1"/>
    <x v="1"/>
    <x v="1"/>
    <x v="0"/>
    <x v="0"/>
    <x v="6"/>
    <x v="0"/>
    <x v="7"/>
  </r>
  <r>
    <x v="174"/>
    <x v="171"/>
    <x v="1"/>
    <x v="173"/>
    <x v="165"/>
    <x v="0"/>
    <x v="1"/>
    <x v="1"/>
    <x v="0"/>
    <x v="1"/>
    <x v="1"/>
    <x v="1"/>
    <x v="1"/>
    <x v="4"/>
    <x v="0"/>
    <x v="4"/>
  </r>
  <r>
    <x v="175"/>
    <x v="172"/>
    <x v="1"/>
    <x v="174"/>
    <x v="84"/>
    <x v="0"/>
    <x v="0"/>
    <x v="1"/>
    <x v="0"/>
    <x v="1"/>
    <x v="1"/>
    <x v="1"/>
    <x v="1"/>
    <x v="1"/>
    <x v="1"/>
    <x v="1"/>
  </r>
  <r>
    <x v="176"/>
    <x v="173"/>
    <x v="0"/>
    <x v="175"/>
    <x v="166"/>
    <x v="0"/>
    <x v="1"/>
    <x v="0"/>
    <x v="2"/>
    <x v="0"/>
    <x v="0"/>
    <x v="0"/>
    <x v="0"/>
    <x v="10"/>
    <x v="0"/>
    <x v="12"/>
  </r>
  <r>
    <x v="177"/>
    <x v="174"/>
    <x v="2"/>
    <x v="176"/>
    <x v="167"/>
    <x v="0"/>
    <x v="0"/>
    <x v="2"/>
    <x v="1"/>
    <x v="1"/>
    <x v="1"/>
    <x v="0"/>
    <x v="0"/>
    <x v="2"/>
    <x v="0"/>
    <x v="2"/>
  </r>
  <r>
    <x v="178"/>
    <x v="175"/>
    <x v="1"/>
    <x v="177"/>
    <x v="168"/>
    <x v="0"/>
    <x v="1"/>
    <x v="1"/>
    <x v="2"/>
    <x v="1"/>
    <x v="1"/>
    <x v="1"/>
    <x v="1"/>
    <x v="4"/>
    <x v="0"/>
    <x v="4"/>
  </r>
  <r>
    <x v="179"/>
    <x v="176"/>
    <x v="0"/>
    <x v="178"/>
    <x v="88"/>
    <x v="0"/>
    <x v="0"/>
    <x v="0"/>
    <x v="0"/>
    <x v="0"/>
    <x v="0"/>
    <x v="0"/>
    <x v="0"/>
    <x v="6"/>
    <x v="0"/>
    <x v="14"/>
  </r>
  <r>
    <x v="180"/>
    <x v="177"/>
    <x v="2"/>
    <x v="179"/>
    <x v="169"/>
    <x v="0"/>
    <x v="1"/>
    <x v="2"/>
    <x v="0"/>
    <x v="1"/>
    <x v="1"/>
    <x v="0"/>
    <x v="0"/>
    <x v="0"/>
    <x v="0"/>
    <x v="13"/>
  </r>
  <r>
    <x v="181"/>
    <x v="178"/>
    <x v="1"/>
    <x v="180"/>
    <x v="170"/>
    <x v="0"/>
    <x v="0"/>
    <x v="1"/>
    <x v="1"/>
    <x v="1"/>
    <x v="1"/>
    <x v="1"/>
    <x v="1"/>
    <x v="1"/>
    <x v="1"/>
    <x v="1"/>
  </r>
  <r>
    <x v="182"/>
    <x v="179"/>
    <x v="0"/>
    <x v="181"/>
    <x v="171"/>
    <x v="0"/>
    <x v="1"/>
    <x v="0"/>
    <x v="2"/>
    <x v="0"/>
    <x v="0"/>
    <x v="0"/>
    <x v="0"/>
    <x v="7"/>
    <x v="0"/>
    <x v="8"/>
  </r>
  <r>
    <x v="183"/>
    <x v="180"/>
    <x v="2"/>
    <x v="182"/>
    <x v="172"/>
    <x v="0"/>
    <x v="0"/>
    <x v="2"/>
    <x v="2"/>
    <x v="1"/>
    <x v="1"/>
    <x v="0"/>
    <x v="0"/>
    <x v="9"/>
    <x v="0"/>
    <x v="10"/>
  </r>
  <r>
    <x v="184"/>
    <x v="181"/>
    <x v="1"/>
    <x v="183"/>
    <x v="93"/>
    <x v="0"/>
    <x v="1"/>
    <x v="1"/>
    <x v="0"/>
    <x v="1"/>
    <x v="1"/>
    <x v="1"/>
    <x v="1"/>
    <x v="5"/>
    <x v="0"/>
    <x v="11"/>
  </r>
  <r>
    <x v="185"/>
    <x v="182"/>
    <x v="0"/>
    <x v="184"/>
    <x v="173"/>
    <x v="0"/>
    <x v="0"/>
    <x v="0"/>
    <x v="1"/>
    <x v="0"/>
    <x v="0"/>
    <x v="0"/>
    <x v="0"/>
    <x v="0"/>
    <x v="0"/>
    <x v="0"/>
  </r>
  <r>
    <x v="186"/>
    <x v="183"/>
    <x v="2"/>
    <x v="185"/>
    <x v="174"/>
    <x v="0"/>
    <x v="1"/>
    <x v="2"/>
    <x v="0"/>
    <x v="1"/>
    <x v="1"/>
    <x v="0"/>
    <x v="0"/>
    <x v="2"/>
    <x v="0"/>
    <x v="2"/>
  </r>
  <r>
    <x v="187"/>
    <x v="184"/>
    <x v="1"/>
    <x v="186"/>
    <x v="175"/>
    <x v="0"/>
    <x v="0"/>
    <x v="1"/>
    <x v="2"/>
    <x v="1"/>
    <x v="1"/>
    <x v="1"/>
    <x v="1"/>
    <x v="1"/>
    <x v="1"/>
    <x v="1"/>
  </r>
  <r>
    <x v="188"/>
    <x v="185"/>
    <x v="0"/>
    <x v="187"/>
    <x v="96"/>
    <x v="0"/>
    <x v="1"/>
    <x v="0"/>
    <x v="0"/>
    <x v="0"/>
    <x v="0"/>
    <x v="0"/>
    <x v="0"/>
    <x v="3"/>
    <x v="0"/>
    <x v="3"/>
  </r>
  <r>
    <x v="189"/>
    <x v="186"/>
    <x v="2"/>
    <x v="188"/>
    <x v="176"/>
    <x v="0"/>
    <x v="0"/>
    <x v="2"/>
    <x v="1"/>
    <x v="1"/>
    <x v="1"/>
    <x v="0"/>
    <x v="0"/>
    <x v="6"/>
    <x v="0"/>
    <x v="7"/>
  </r>
  <r>
    <x v="190"/>
    <x v="15"/>
    <x v="1"/>
    <x v="189"/>
    <x v="177"/>
    <x v="0"/>
    <x v="1"/>
    <x v="1"/>
    <x v="0"/>
    <x v="1"/>
    <x v="1"/>
    <x v="1"/>
    <x v="1"/>
    <x v="4"/>
    <x v="0"/>
    <x v="4"/>
  </r>
  <r>
    <x v="191"/>
    <x v="187"/>
    <x v="0"/>
    <x v="190"/>
    <x v="178"/>
    <x v="0"/>
    <x v="0"/>
    <x v="0"/>
    <x v="2"/>
    <x v="0"/>
    <x v="0"/>
    <x v="0"/>
    <x v="0"/>
    <x v="10"/>
    <x v="0"/>
    <x v="12"/>
  </r>
  <r>
    <x v="192"/>
    <x v="188"/>
    <x v="2"/>
    <x v="191"/>
    <x v="99"/>
    <x v="0"/>
    <x v="1"/>
    <x v="2"/>
    <x v="0"/>
    <x v="1"/>
    <x v="1"/>
    <x v="0"/>
    <x v="0"/>
    <x v="2"/>
    <x v="0"/>
    <x v="2"/>
  </r>
  <r>
    <x v="193"/>
    <x v="14"/>
    <x v="1"/>
    <x v="192"/>
    <x v="179"/>
    <x v="0"/>
    <x v="0"/>
    <x v="1"/>
    <x v="1"/>
    <x v="1"/>
    <x v="1"/>
    <x v="1"/>
    <x v="1"/>
    <x v="1"/>
    <x v="1"/>
    <x v="1"/>
  </r>
  <r>
    <x v="194"/>
    <x v="189"/>
    <x v="0"/>
    <x v="193"/>
    <x v="180"/>
    <x v="0"/>
    <x v="1"/>
    <x v="0"/>
    <x v="0"/>
    <x v="0"/>
    <x v="0"/>
    <x v="0"/>
    <x v="0"/>
    <x v="7"/>
    <x v="0"/>
    <x v="8"/>
  </r>
  <r>
    <x v="195"/>
    <x v="167"/>
    <x v="2"/>
    <x v="194"/>
    <x v="181"/>
    <x v="0"/>
    <x v="0"/>
    <x v="2"/>
    <x v="2"/>
    <x v="1"/>
    <x v="1"/>
    <x v="0"/>
    <x v="0"/>
    <x v="6"/>
    <x v="0"/>
    <x v="7"/>
  </r>
  <r>
    <x v="196"/>
    <x v="190"/>
    <x v="1"/>
    <x v="195"/>
    <x v="103"/>
    <x v="0"/>
    <x v="1"/>
    <x v="1"/>
    <x v="0"/>
    <x v="1"/>
    <x v="1"/>
    <x v="1"/>
    <x v="1"/>
    <x v="4"/>
    <x v="0"/>
    <x v="4"/>
  </r>
  <r>
    <x v="197"/>
    <x v="191"/>
    <x v="0"/>
    <x v="196"/>
    <x v="182"/>
    <x v="0"/>
    <x v="0"/>
    <x v="0"/>
    <x v="1"/>
    <x v="0"/>
    <x v="0"/>
    <x v="0"/>
    <x v="0"/>
    <x v="3"/>
    <x v="0"/>
    <x v="3"/>
  </r>
  <r>
    <x v="198"/>
    <x v="192"/>
    <x v="2"/>
    <x v="197"/>
    <x v="105"/>
    <x v="0"/>
    <x v="1"/>
    <x v="2"/>
    <x v="0"/>
    <x v="1"/>
    <x v="1"/>
    <x v="0"/>
    <x v="0"/>
    <x v="2"/>
    <x v="0"/>
    <x v="2"/>
  </r>
  <r>
    <x v="199"/>
    <x v="193"/>
    <x v="1"/>
    <x v="198"/>
    <x v="1"/>
    <x v="0"/>
    <x v="0"/>
    <x v="1"/>
    <x v="2"/>
    <x v="1"/>
    <x v="1"/>
    <x v="1"/>
    <x v="1"/>
    <x v="1"/>
    <x v="1"/>
    <x v="1"/>
  </r>
  <r>
    <x v="200"/>
    <x v="194"/>
    <x v="0"/>
    <x v="199"/>
    <x v="183"/>
    <x v="0"/>
    <x v="1"/>
    <x v="0"/>
    <x v="0"/>
    <x v="0"/>
    <x v="0"/>
    <x v="0"/>
    <x v="0"/>
    <x v="6"/>
    <x v="0"/>
    <x v="14"/>
  </r>
  <r>
    <x v="201"/>
    <x v="195"/>
    <x v="2"/>
    <x v="200"/>
    <x v="184"/>
    <x v="0"/>
    <x v="0"/>
    <x v="2"/>
    <x v="1"/>
    <x v="1"/>
    <x v="1"/>
    <x v="0"/>
    <x v="0"/>
    <x v="6"/>
    <x v="0"/>
    <x v="7"/>
  </r>
  <r>
    <x v="202"/>
    <x v="196"/>
    <x v="1"/>
    <x v="201"/>
    <x v="109"/>
    <x v="0"/>
    <x v="1"/>
    <x v="1"/>
    <x v="0"/>
    <x v="1"/>
    <x v="1"/>
    <x v="1"/>
    <x v="1"/>
    <x v="4"/>
    <x v="0"/>
    <x v="4"/>
  </r>
  <r>
    <x v="203"/>
    <x v="197"/>
    <x v="0"/>
    <x v="202"/>
    <x v="185"/>
    <x v="0"/>
    <x v="0"/>
    <x v="0"/>
    <x v="2"/>
    <x v="0"/>
    <x v="0"/>
    <x v="0"/>
    <x v="0"/>
    <x v="10"/>
    <x v="0"/>
    <x v="12"/>
  </r>
  <r>
    <x v="204"/>
    <x v="198"/>
    <x v="2"/>
    <x v="203"/>
    <x v="186"/>
    <x v="0"/>
    <x v="1"/>
    <x v="2"/>
    <x v="0"/>
    <x v="1"/>
    <x v="1"/>
    <x v="0"/>
    <x v="0"/>
    <x v="2"/>
    <x v="0"/>
    <x v="2"/>
  </r>
  <r>
    <x v="205"/>
    <x v="199"/>
    <x v="1"/>
    <x v="204"/>
    <x v="187"/>
    <x v="0"/>
    <x v="0"/>
    <x v="1"/>
    <x v="0"/>
    <x v="1"/>
    <x v="1"/>
    <x v="1"/>
    <x v="1"/>
    <x v="1"/>
    <x v="1"/>
    <x v="1"/>
  </r>
  <r>
    <x v="206"/>
    <x v="200"/>
    <x v="0"/>
    <x v="205"/>
    <x v="188"/>
    <x v="0"/>
    <x v="1"/>
    <x v="0"/>
    <x v="2"/>
    <x v="0"/>
    <x v="0"/>
    <x v="0"/>
    <x v="0"/>
    <x v="10"/>
    <x v="0"/>
    <x v="12"/>
  </r>
  <r>
    <x v="207"/>
    <x v="201"/>
    <x v="2"/>
    <x v="206"/>
    <x v="189"/>
    <x v="0"/>
    <x v="0"/>
    <x v="2"/>
    <x v="1"/>
    <x v="1"/>
    <x v="1"/>
    <x v="0"/>
    <x v="0"/>
    <x v="2"/>
    <x v="0"/>
    <x v="2"/>
  </r>
  <r>
    <x v="208"/>
    <x v="202"/>
    <x v="1"/>
    <x v="207"/>
    <x v="190"/>
    <x v="0"/>
    <x v="1"/>
    <x v="1"/>
    <x v="2"/>
    <x v="1"/>
    <x v="1"/>
    <x v="1"/>
    <x v="1"/>
    <x v="4"/>
    <x v="0"/>
    <x v="4"/>
  </r>
  <r>
    <x v="209"/>
    <x v="203"/>
    <x v="0"/>
    <x v="208"/>
    <x v="191"/>
    <x v="0"/>
    <x v="0"/>
    <x v="0"/>
    <x v="0"/>
    <x v="0"/>
    <x v="0"/>
    <x v="0"/>
    <x v="0"/>
    <x v="6"/>
    <x v="0"/>
    <x v="14"/>
  </r>
  <r>
    <x v="210"/>
    <x v="204"/>
    <x v="2"/>
    <x v="209"/>
    <x v="192"/>
    <x v="0"/>
    <x v="1"/>
    <x v="2"/>
    <x v="0"/>
    <x v="1"/>
    <x v="1"/>
    <x v="0"/>
    <x v="0"/>
    <x v="0"/>
    <x v="0"/>
    <x v="13"/>
  </r>
  <r>
    <x v="211"/>
    <x v="205"/>
    <x v="1"/>
    <x v="210"/>
    <x v="193"/>
    <x v="0"/>
    <x v="0"/>
    <x v="1"/>
    <x v="1"/>
    <x v="1"/>
    <x v="1"/>
    <x v="1"/>
    <x v="1"/>
    <x v="1"/>
    <x v="1"/>
    <x v="1"/>
  </r>
  <r>
    <x v="212"/>
    <x v="206"/>
    <x v="0"/>
    <x v="211"/>
    <x v="194"/>
    <x v="0"/>
    <x v="1"/>
    <x v="0"/>
    <x v="2"/>
    <x v="0"/>
    <x v="0"/>
    <x v="0"/>
    <x v="0"/>
    <x v="7"/>
    <x v="0"/>
    <x v="8"/>
  </r>
  <r>
    <x v="213"/>
    <x v="207"/>
    <x v="2"/>
    <x v="212"/>
    <x v="195"/>
    <x v="0"/>
    <x v="0"/>
    <x v="2"/>
    <x v="2"/>
    <x v="1"/>
    <x v="1"/>
    <x v="0"/>
    <x v="0"/>
    <x v="9"/>
    <x v="0"/>
    <x v="10"/>
  </r>
  <r>
    <x v="214"/>
    <x v="37"/>
    <x v="1"/>
    <x v="213"/>
    <x v="196"/>
    <x v="0"/>
    <x v="1"/>
    <x v="1"/>
    <x v="0"/>
    <x v="1"/>
    <x v="1"/>
    <x v="1"/>
    <x v="1"/>
    <x v="5"/>
    <x v="0"/>
    <x v="11"/>
  </r>
  <r>
    <x v="215"/>
    <x v="208"/>
    <x v="0"/>
    <x v="214"/>
    <x v="197"/>
    <x v="0"/>
    <x v="0"/>
    <x v="0"/>
    <x v="1"/>
    <x v="0"/>
    <x v="0"/>
    <x v="0"/>
    <x v="0"/>
    <x v="0"/>
    <x v="0"/>
    <x v="0"/>
  </r>
  <r>
    <x v="216"/>
    <x v="209"/>
    <x v="2"/>
    <x v="215"/>
    <x v="198"/>
    <x v="0"/>
    <x v="1"/>
    <x v="2"/>
    <x v="0"/>
    <x v="1"/>
    <x v="1"/>
    <x v="0"/>
    <x v="0"/>
    <x v="2"/>
    <x v="0"/>
    <x v="2"/>
  </r>
  <r>
    <x v="217"/>
    <x v="210"/>
    <x v="1"/>
    <x v="216"/>
    <x v="199"/>
    <x v="0"/>
    <x v="0"/>
    <x v="1"/>
    <x v="2"/>
    <x v="1"/>
    <x v="1"/>
    <x v="1"/>
    <x v="1"/>
    <x v="1"/>
    <x v="1"/>
    <x v="1"/>
  </r>
  <r>
    <x v="218"/>
    <x v="211"/>
    <x v="0"/>
    <x v="217"/>
    <x v="200"/>
    <x v="0"/>
    <x v="1"/>
    <x v="0"/>
    <x v="0"/>
    <x v="0"/>
    <x v="0"/>
    <x v="0"/>
    <x v="0"/>
    <x v="3"/>
    <x v="0"/>
    <x v="3"/>
  </r>
  <r>
    <x v="219"/>
    <x v="212"/>
    <x v="2"/>
    <x v="218"/>
    <x v="201"/>
    <x v="0"/>
    <x v="0"/>
    <x v="2"/>
    <x v="1"/>
    <x v="1"/>
    <x v="1"/>
    <x v="0"/>
    <x v="0"/>
    <x v="6"/>
    <x v="0"/>
    <x v="7"/>
  </r>
  <r>
    <x v="220"/>
    <x v="213"/>
    <x v="1"/>
    <x v="219"/>
    <x v="202"/>
    <x v="0"/>
    <x v="1"/>
    <x v="1"/>
    <x v="0"/>
    <x v="1"/>
    <x v="1"/>
    <x v="1"/>
    <x v="1"/>
    <x v="4"/>
    <x v="0"/>
    <x v="4"/>
  </r>
  <r>
    <x v="221"/>
    <x v="191"/>
    <x v="0"/>
    <x v="220"/>
    <x v="203"/>
    <x v="0"/>
    <x v="0"/>
    <x v="0"/>
    <x v="2"/>
    <x v="0"/>
    <x v="0"/>
    <x v="0"/>
    <x v="0"/>
    <x v="10"/>
    <x v="0"/>
    <x v="12"/>
  </r>
  <r>
    <x v="222"/>
    <x v="45"/>
    <x v="2"/>
    <x v="221"/>
    <x v="204"/>
    <x v="0"/>
    <x v="1"/>
    <x v="2"/>
    <x v="0"/>
    <x v="1"/>
    <x v="1"/>
    <x v="0"/>
    <x v="0"/>
    <x v="2"/>
    <x v="0"/>
    <x v="2"/>
  </r>
  <r>
    <x v="223"/>
    <x v="214"/>
    <x v="1"/>
    <x v="222"/>
    <x v="205"/>
    <x v="0"/>
    <x v="0"/>
    <x v="1"/>
    <x v="1"/>
    <x v="1"/>
    <x v="1"/>
    <x v="1"/>
    <x v="1"/>
    <x v="1"/>
    <x v="1"/>
    <x v="1"/>
  </r>
  <r>
    <x v="224"/>
    <x v="215"/>
    <x v="0"/>
    <x v="223"/>
    <x v="206"/>
    <x v="0"/>
    <x v="1"/>
    <x v="0"/>
    <x v="0"/>
    <x v="0"/>
    <x v="0"/>
    <x v="0"/>
    <x v="0"/>
    <x v="7"/>
    <x v="0"/>
    <x v="8"/>
  </r>
  <r>
    <x v="225"/>
    <x v="216"/>
    <x v="2"/>
    <x v="224"/>
    <x v="207"/>
    <x v="0"/>
    <x v="0"/>
    <x v="2"/>
    <x v="2"/>
    <x v="1"/>
    <x v="1"/>
    <x v="0"/>
    <x v="0"/>
    <x v="6"/>
    <x v="0"/>
    <x v="7"/>
  </r>
  <r>
    <x v="226"/>
    <x v="217"/>
    <x v="1"/>
    <x v="225"/>
    <x v="130"/>
    <x v="0"/>
    <x v="1"/>
    <x v="1"/>
    <x v="0"/>
    <x v="1"/>
    <x v="1"/>
    <x v="1"/>
    <x v="1"/>
    <x v="4"/>
    <x v="0"/>
    <x v="4"/>
  </r>
  <r>
    <x v="227"/>
    <x v="218"/>
    <x v="0"/>
    <x v="226"/>
    <x v="208"/>
    <x v="0"/>
    <x v="0"/>
    <x v="0"/>
    <x v="1"/>
    <x v="0"/>
    <x v="0"/>
    <x v="0"/>
    <x v="0"/>
    <x v="3"/>
    <x v="0"/>
    <x v="3"/>
  </r>
  <r>
    <x v="228"/>
    <x v="219"/>
    <x v="2"/>
    <x v="227"/>
    <x v="132"/>
    <x v="0"/>
    <x v="1"/>
    <x v="2"/>
    <x v="0"/>
    <x v="1"/>
    <x v="1"/>
    <x v="0"/>
    <x v="0"/>
    <x v="2"/>
    <x v="0"/>
    <x v="2"/>
  </r>
  <r>
    <x v="229"/>
    <x v="127"/>
    <x v="1"/>
    <x v="228"/>
    <x v="209"/>
    <x v="0"/>
    <x v="0"/>
    <x v="1"/>
    <x v="2"/>
    <x v="1"/>
    <x v="1"/>
    <x v="1"/>
    <x v="1"/>
    <x v="1"/>
    <x v="1"/>
    <x v="1"/>
  </r>
  <r>
    <x v="230"/>
    <x v="220"/>
    <x v="0"/>
    <x v="229"/>
    <x v="210"/>
    <x v="0"/>
    <x v="1"/>
    <x v="0"/>
    <x v="0"/>
    <x v="0"/>
    <x v="0"/>
    <x v="0"/>
    <x v="0"/>
    <x v="6"/>
    <x v="0"/>
    <x v="14"/>
  </r>
  <r>
    <x v="231"/>
    <x v="221"/>
    <x v="2"/>
    <x v="230"/>
    <x v="211"/>
    <x v="0"/>
    <x v="0"/>
    <x v="2"/>
    <x v="1"/>
    <x v="1"/>
    <x v="1"/>
    <x v="0"/>
    <x v="0"/>
    <x v="6"/>
    <x v="0"/>
    <x v="7"/>
  </r>
  <r>
    <x v="232"/>
    <x v="222"/>
    <x v="1"/>
    <x v="231"/>
    <x v="136"/>
    <x v="0"/>
    <x v="1"/>
    <x v="1"/>
    <x v="0"/>
    <x v="1"/>
    <x v="1"/>
    <x v="1"/>
    <x v="1"/>
    <x v="4"/>
    <x v="0"/>
    <x v="4"/>
  </r>
  <r>
    <x v="233"/>
    <x v="223"/>
    <x v="0"/>
    <x v="232"/>
    <x v="212"/>
    <x v="0"/>
    <x v="0"/>
    <x v="0"/>
    <x v="2"/>
    <x v="0"/>
    <x v="0"/>
    <x v="0"/>
    <x v="0"/>
    <x v="10"/>
    <x v="0"/>
    <x v="12"/>
  </r>
  <r>
    <x v="234"/>
    <x v="224"/>
    <x v="2"/>
    <x v="233"/>
    <x v="213"/>
    <x v="0"/>
    <x v="1"/>
    <x v="2"/>
    <x v="0"/>
    <x v="1"/>
    <x v="1"/>
    <x v="0"/>
    <x v="0"/>
    <x v="2"/>
    <x v="0"/>
    <x v="2"/>
  </r>
  <r>
    <x v="235"/>
    <x v="225"/>
    <x v="1"/>
    <x v="234"/>
    <x v="214"/>
    <x v="0"/>
    <x v="0"/>
    <x v="1"/>
    <x v="1"/>
    <x v="1"/>
    <x v="1"/>
    <x v="1"/>
    <x v="1"/>
    <x v="1"/>
    <x v="1"/>
    <x v="1"/>
  </r>
  <r>
    <x v="236"/>
    <x v="226"/>
    <x v="0"/>
    <x v="235"/>
    <x v="215"/>
    <x v="0"/>
    <x v="1"/>
    <x v="0"/>
    <x v="0"/>
    <x v="0"/>
    <x v="0"/>
    <x v="0"/>
    <x v="0"/>
    <x v="6"/>
    <x v="0"/>
    <x v="14"/>
  </r>
  <r>
    <x v="237"/>
    <x v="227"/>
    <x v="2"/>
    <x v="236"/>
    <x v="216"/>
    <x v="0"/>
    <x v="0"/>
    <x v="2"/>
    <x v="2"/>
    <x v="1"/>
    <x v="1"/>
    <x v="0"/>
    <x v="0"/>
    <x v="9"/>
    <x v="0"/>
    <x v="10"/>
  </r>
  <r>
    <x v="238"/>
    <x v="228"/>
    <x v="1"/>
    <x v="237"/>
    <x v="217"/>
    <x v="0"/>
    <x v="1"/>
    <x v="1"/>
    <x v="0"/>
    <x v="1"/>
    <x v="1"/>
    <x v="1"/>
    <x v="1"/>
    <x v="5"/>
    <x v="0"/>
    <x v="11"/>
  </r>
  <r>
    <x v="239"/>
    <x v="229"/>
    <x v="0"/>
    <x v="238"/>
    <x v="218"/>
    <x v="0"/>
    <x v="0"/>
    <x v="0"/>
    <x v="1"/>
    <x v="0"/>
    <x v="0"/>
    <x v="0"/>
    <x v="0"/>
    <x v="0"/>
    <x v="0"/>
    <x v="0"/>
  </r>
  <r>
    <x v="240"/>
    <x v="230"/>
    <x v="2"/>
    <x v="239"/>
    <x v="219"/>
    <x v="0"/>
    <x v="1"/>
    <x v="2"/>
    <x v="0"/>
    <x v="1"/>
    <x v="1"/>
    <x v="0"/>
    <x v="0"/>
    <x v="2"/>
    <x v="0"/>
    <x v="2"/>
  </r>
  <r>
    <x v="241"/>
    <x v="231"/>
    <x v="1"/>
    <x v="240"/>
    <x v="220"/>
    <x v="0"/>
    <x v="0"/>
    <x v="1"/>
    <x v="2"/>
    <x v="1"/>
    <x v="1"/>
    <x v="1"/>
    <x v="1"/>
    <x v="1"/>
    <x v="1"/>
    <x v="1"/>
  </r>
  <r>
    <x v="242"/>
    <x v="140"/>
    <x v="0"/>
    <x v="241"/>
    <x v="221"/>
    <x v="0"/>
    <x v="1"/>
    <x v="0"/>
    <x v="0"/>
    <x v="0"/>
    <x v="0"/>
    <x v="0"/>
    <x v="0"/>
    <x v="3"/>
    <x v="0"/>
    <x v="3"/>
  </r>
  <r>
    <x v="243"/>
    <x v="232"/>
    <x v="2"/>
    <x v="242"/>
    <x v="222"/>
    <x v="1"/>
    <x v="0"/>
    <x v="2"/>
    <x v="1"/>
    <x v="1"/>
    <x v="1"/>
    <x v="0"/>
    <x v="0"/>
    <x v="6"/>
    <x v="0"/>
    <x v="7"/>
  </r>
  <r>
    <x v="244"/>
    <x v="233"/>
    <x v="1"/>
    <x v="243"/>
    <x v="223"/>
    <x v="0"/>
    <x v="1"/>
    <x v="1"/>
    <x v="0"/>
    <x v="1"/>
    <x v="1"/>
    <x v="1"/>
    <x v="1"/>
    <x v="4"/>
    <x v="0"/>
    <x v="4"/>
  </r>
  <r>
    <x v="245"/>
    <x v="234"/>
    <x v="0"/>
    <x v="244"/>
    <x v="224"/>
    <x v="0"/>
    <x v="0"/>
    <x v="0"/>
    <x v="2"/>
    <x v="0"/>
    <x v="0"/>
    <x v="0"/>
    <x v="0"/>
    <x v="10"/>
    <x v="0"/>
    <x v="12"/>
  </r>
  <r>
    <x v="246"/>
    <x v="235"/>
    <x v="2"/>
    <x v="245"/>
    <x v="225"/>
    <x v="0"/>
    <x v="1"/>
    <x v="2"/>
    <x v="0"/>
    <x v="1"/>
    <x v="1"/>
    <x v="0"/>
    <x v="0"/>
    <x v="2"/>
    <x v="0"/>
    <x v="2"/>
  </r>
  <r>
    <x v="247"/>
    <x v="236"/>
    <x v="1"/>
    <x v="246"/>
    <x v="226"/>
    <x v="1"/>
    <x v="0"/>
    <x v="1"/>
    <x v="1"/>
    <x v="1"/>
    <x v="1"/>
    <x v="1"/>
    <x v="1"/>
    <x v="1"/>
    <x v="1"/>
    <x v="1"/>
  </r>
  <r>
    <x v="248"/>
    <x v="237"/>
    <x v="0"/>
    <x v="247"/>
    <x v="227"/>
    <x v="0"/>
    <x v="1"/>
    <x v="0"/>
    <x v="0"/>
    <x v="0"/>
    <x v="0"/>
    <x v="0"/>
    <x v="0"/>
    <x v="7"/>
    <x v="0"/>
    <x v="8"/>
  </r>
  <r>
    <x v="249"/>
    <x v="238"/>
    <x v="2"/>
    <x v="248"/>
    <x v="228"/>
    <x v="0"/>
    <x v="0"/>
    <x v="2"/>
    <x v="2"/>
    <x v="1"/>
    <x v="1"/>
    <x v="0"/>
    <x v="0"/>
    <x v="6"/>
    <x v="0"/>
    <x v="7"/>
  </r>
  <r>
    <x v="250"/>
    <x v="239"/>
    <x v="1"/>
    <x v="249"/>
    <x v="229"/>
    <x v="0"/>
    <x v="1"/>
    <x v="1"/>
    <x v="0"/>
    <x v="1"/>
    <x v="1"/>
    <x v="1"/>
    <x v="1"/>
    <x v="4"/>
    <x v="0"/>
    <x v="4"/>
  </r>
  <r>
    <x v="251"/>
    <x v="240"/>
    <x v="0"/>
    <x v="250"/>
    <x v="230"/>
    <x v="1"/>
    <x v="0"/>
    <x v="0"/>
    <x v="1"/>
    <x v="0"/>
    <x v="0"/>
    <x v="0"/>
    <x v="0"/>
    <x v="3"/>
    <x v="0"/>
    <x v="3"/>
  </r>
  <r>
    <x v="252"/>
    <x v="241"/>
    <x v="2"/>
    <x v="251"/>
    <x v="231"/>
    <x v="0"/>
    <x v="1"/>
    <x v="2"/>
    <x v="0"/>
    <x v="1"/>
    <x v="1"/>
    <x v="0"/>
    <x v="0"/>
    <x v="2"/>
    <x v="0"/>
    <x v="2"/>
  </r>
  <r>
    <x v="253"/>
    <x v="242"/>
    <x v="1"/>
    <x v="252"/>
    <x v="232"/>
    <x v="0"/>
    <x v="0"/>
    <x v="1"/>
    <x v="2"/>
    <x v="1"/>
    <x v="1"/>
    <x v="1"/>
    <x v="1"/>
    <x v="1"/>
    <x v="1"/>
    <x v="1"/>
  </r>
  <r>
    <x v="254"/>
    <x v="243"/>
    <x v="0"/>
    <x v="253"/>
    <x v="233"/>
    <x v="0"/>
    <x v="1"/>
    <x v="0"/>
    <x v="0"/>
    <x v="0"/>
    <x v="0"/>
    <x v="0"/>
    <x v="0"/>
    <x v="6"/>
    <x v="0"/>
    <x v="14"/>
  </r>
  <r>
    <x v="255"/>
    <x v="244"/>
    <x v="1"/>
    <x v="254"/>
    <x v="234"/>
    <x v="0"/>
    <x v="0"/>
    <x v="1"/>
    <x v="0"/>
    <x v="1"/>
    <x v="1"/>
    <x v="1"/>
    <x v="1"/>
    <x v="1"/>
    <x v="1"/>
    <x v="1"/>
  </r>
  <r>
    <x v="256"/>
    <x v="245"/>
    <x v="0"/>
    <x v="255"/>
    <x v="235"/>
    <x v="0"/>
    <x v="1"/>
    <x v="0"/>
    <x v="2"/>
    <x v="0"/>
    <x v="0"/>
    <x v="0"/>
    <x v="0"/>
    <x v="10"/>
    <x v="0"/>
    <x v="12"/>
  </r>
  <r>
    <x v="257"/>
    <x v="246"/>
    <x v="2"/>
    <x v="256"/>
    <x v="236"/>
    <x v="1"/>
    <x v="0"/>
    <x v="2"/>
    <x v="1"/>
    <x v="1"/>
    <x v="1"/>
    <x v="0"/>
    <x v="0"/>
    <x v="2"/>
    <x v="0"/>
    <x v="2"/>
  </r>
  <r>
    <x v="258"/>
    <x v="247"/>
    <x v="1"/>
    <x v="257"/>
    <x v="237"/>
    <x v="0"/>
    <x v="1"/>
    <x v="1"/>
    <x v="2"/>
    <x v="1"/>
    <x v="1"/>
    <x v="1"/>
    <x v="1"/>
    <x v="4"/>
    <x v="0"/>
    <x v="4"/>
  </r>
  <r>
    <x v="259"/>
    <x v="248"/>
    <x v="0"/>
    <x v="258"/>
    <x v="238"/>
    <x v="0"/>
    <x v="0"/>
    <x v="0"/>
    <x v="0"/>
    <x v="0"/>
    <x v="0"/>
    <x v="0"/>
    <x v="0"/>
    <x v="6"/>
    <x v="0"/>
    <x v="14"/>
  </r>
  <r>
    <x v="260"/>
    <x v="249"/>
    <x v="2"/>
    <x v="259"/>
    <x v="239"/>
    <x v="0"/>
    <x v="1"/>
    <x v="2"/>
    <x v="0"/>
    <x v="1"/>
    <x v="1"/>
    <x v="0"/>
    <x v="0"/>
    <x v="0"/>
    <x v="0"/>
    <x v="13"/>
  </r>
  <r>
    <x v="261"/>
    <x v="250"/>
    <x v="1"/>
    <x v="260"/>
    <x v="240"/>
    <x v="1"/>
    <x v="0"/>
    <x v="1"/>
    <x v="1"/>
    <x v="1"/>
    <x v="1"/>
    <x v="1"/>
    <x v="1"/>
    <x v="1"/>
    <x v="1"/>
    <x v="1"/>
  </r>
  <r>
    <x v="262"/>
    <x v="251"/>
    <x v="0"/>
    <x v="261"/>
    <x v="241"/>
    <x v="0"/>
    <x v="1"/>
    <x v="0"/>
    <x v="2"/>
    <x v="0"/>
    <x v="0"/>
    <x v="0"/>
    <x v="0"/>
    <x v="7"/>
    <x v="0"/>
    <x v="8"/>
  </r>
  <r>
    <x v="263"/>
    <x v="252"/>
    <x v="2"/>
    <x v="262"/>
    <x v="22"/>
    <x v="0"/>
    <x v="0"/>
    <x v="2"/>
    <x v="2"/>
    <x v="1"/>
    <x v="1"/>
    <x v="0"/>
    <x v="0"/>
    <x v="9"/>
    <x v="0"/>
    <x v="10"/>
  </r>
  <r>
    <x v="264"/>
    <x v="253"/>
    <x v="1"/>
    <x v="263"/>
    <x v="242"/>
    <x v="0"/>
    <x v="1"/>
    <x v="1"/>
    <x v="0"/>
    <x v="1"/>
    <x v="1"/>
    <x v="1"/>
    <x v="1"/>
    <x v="5"/>
    <x v="0"/>
    <x v="11"/>
  </r>
  <r>
    <x v="265"/>
    <x v="254"/>
    <x v="0"/>
    <x v="264"/>
    <x v="243"/>
    <x v="1"/>
    <x v="0"/>
    <x v="0"/>
    <x v="1"/>
    <x v="0"/>
    <x v="0"/>
    <x v="0"/>
    <x v="0"/>
    <x v="0"/>
    <x v="0"/>
    <x v="0"/>
  </r>
  <r>
    <x v="266"/>
    <x v="255"/>
    <x v="2"/>
    <x v="265"/>
    <x v="166"/>
    <x v="0"/>
    <x v="1"/>
    <x v="2"/>
    <x v="0"/>
    <x v="1"/>
    <x v="1"/>
    <x v="0"/>
    <x v="0"/>
    <x v="2"/>
    <x v="0"/>
    <x v="2"/>
  </r>
  <r>
    <x v="267"/>
    <x v="256"/>
    <x v="1"/>
    <x v="266"/>
    <x v="26"/>
    <x v="0"/>
    <x v="0"/>
    <x v="1"/>
    <x v="2"/>
    <x v="1"/>
    <x v="1"/>
    <x v="1"/>
    <x v="1"/>
    <x v="1"/>
    <x v="1"/>
    <x v="1"/>
  </r>
  <r>
    <x v="268"/>
    <x v="257"/>
    <x v="0"/>
    <x v="267"/>
    <x v="168"/>
    <x v="0"/>
    <x v="1"/>
    <x v="0"/>
    <x v="0"/>
    <x v="0"/>
    <x v="0"/>
    <x v="0"/>
    <x v="0"/>
    <x v="3"/>
    <x v="0"/>
    <x v="3"/>
  </r>
  <r>
    <x v="269"/>
    <x v="258"/>
    <x v="2"/>
    <x v="268"/>
    <x v="244"/>
    <x v="1"/>
    <x v="0"/>
    <x v="2"/>
    <x v="1"/>
    <x v="1"/>
    <x v="1"/>
    <x v="0"/>
    <x v="0"/>
    <x v="6"/>
    <x v="0"/>
    <x v="7"/>
  </r>
  <r>
    <x v="270"/>
    <x v="259"/>
    <x v="1"/>
    <x v="269"/>
    <x v="245"/>
    <x v="0"/>
    <x v="1"/>
    <x v="1"/>
    <x v="0"/>
    <x v="1"/>
    <x v="1"/>
    <x v="1"/>
    <x v="1"/>
    <x v="4"/>
    <x v="0"/>
    <x v="4"/>
  </r>
  <r>
    <x v="271"/>
    <x v="260"/>
    <x v="0"/>
    <x v="270"/>
    <x v="246"/>
    <x v="1"/>
    <x v="0"/>
    <x v="0"/>
    <x v="2"/>
    <x v="0"/>
    <x v="0"/>
    <x v="0"/>
    <x v="0"/>
    <x v="10"/>
    <x v="0"/>
    <x v="12"/>
  </r>
  <r>
    <x v="272"/>
    <x v="119"/>
    <x v="2"/>
    <x v="271"/>
    <x v="171"/>
    <x v="0"/>
    <x v="1"/>
    <x v="2"/>
    <x v="0"/>
    <x v="1"/>
    <x v="1"/>
    <x v="0"/>
    <x v="0"/>
    <x v="2"/>
    <x v="0"/>
    <x v="2"/>
  </r>
  <r>
    <x v="273"/>
    <x v="261"/>
    <x v="1"/>
    <x v="272"/>
    <x v="247"/>
    <x v="1"/>
    <x v="0"/>
    <x v="1"/>
    <x v="1"/>
    <x v="1"/>
    <x v="1"/>
    <x v="1"/>
    <x v="1"/>
    <x v="1"/>
    <x v="1"/>
    <x v="1"/>
  </r>
  <r>
    <x v="274"/>
    <x v="262"/>
    <x v="0"/>
    <x v="273"/>
    <x v="248"/>
    <x v="0"/>
    <x v="1"/>
    <x v="0"/>
    <x v="0"/>
    <x v="0"/>
    <x v="0"/>
    <x v="0"/>
    <x v="0"/>
    <x v="7"/>
    <x v="0"/>
    <x v="8"/>
  </r>
  <r>
    <x v="275"/>
    <x v="263"/>
    <x v="2"/>
    <x v="274"/>
    <x v="249"/>
    <x v="0"/>
    <x v="0"/>
    <x v="2"/>
    <x v="2"/>
    <x v="1"/>
    <x v="1"/>
    <x v="0"/>
    <x v="0"/>
    <x v="6"/>
    <x v="0"/>
    <x v="7"/>
  </r>
  <r>
    <x v="276"/>
    <x v="264"/>
    <x v="1"/>
    <x v="275"/>
    <x v="250"/>
    <x v="0"/>
    <x v="1"/>
    <x v="1"/>
    <x v="0"/>
    <x v="1"/>
    <x v="1"/>
    <x v="1"/>
    <x v="1"/>
    <x v="4"/>
    <x v="0"/>
    <x v="4"/>
  </r>
  <r>
    <x v="277"/>
    <x v="265"/>
    <x v="0"/>
    <x v="276"/>
    <x v="251"/>
    <x v="1"/>
    <x v="0"/>
    <x v="0"/>
    <x v="1"/>
    <x v="0"/>
    <x v="0"/>
    <x v="0"/>
    <x v="0"/>
    <x v="3"/>
    <x v="0"/>
    <x v="3"/>
  </r>
  <r>
    <x v="278"/>
    <x v="266"/>
    <x v="2"/>
    <x v="277"/>
    <x v="252"/>
    <x v="1"/>
    <x v="1"/>
    <x v="2"/>
    <x v="0"/>
    <x v="1"/>
    <x v="1"/>
    <x v="0"/>
    <x v="0"/>
    <x v="2"/>
    <x v="0"/>
    <x v="2"/>
  </r>
  <r>
    <x v="279"/>
    <x v="267"/>
    <x v="1"/>
    <x v="278"/>
    <x v="253"/>
    <x v="0"/>
    <x v="0"/>
    <x v="1"/>
    <x v="2"/>
    <x v="1"/>
    <x v="1"/>
    <x v="1"/>
    <x v="1"/>
    <x v="1"/>
    <x v="1"/>
    <x v="1"/>
  </r>
  <r>
    <x v="280"/>
    <x v="268"/>
    <x v="0"/>
    <x v="279"/>
    <x v="254"/>
    <x v="0"/>
    <x v="1"/>
    <x v="0"/>
    <x v="0"/>
    <x v="0"/>
    <x v="0"/>
    <x v="0"/>
    <x v="0"/>
    <x v="6"/>
    <x v="0"/>
    <x v="14"/>
  </r>
  <r>
    <x v="281"/>
    <x v="269"/>
    <x v="2"/>
    <x v="280"/>
    <x v="255"/>
    <x v="1"/>
    <x v="0"/>
    <x v="2"/>
    <x v="1"/>
    <x v="1"/>
    <x v="1"/>
    <x v="0"/>
    <x v="0"/>
    <x v="6"/>
    <x v="0"/>
    <x v="7"/>
  </r>
  <r>
    <x v="282"/>
    <x v="270"/>
    <x v="1"/>
    <x v="281"/>
    <x v="256"/>
    <x v="0"/>
    <x v="1"/>
    <x v="1"/>
    <x v="0"/>
    <x v="1"/>
    <x v="1"/>
    <x v="1"/>
    <x v="1"/>
    <x v="4"/>
    <x v="0"/>
    <x v="4"/>
  </r>
  <r>
    <x v="283"/>
    <x v="271"/>
    <x v="0"/>
    <x v="282"/>
    <x v="257"/>
    <x v="0"/>
    <x v="0"/>
    <x v="0"/>
    <x v="2"/>
    <x v="0"/>
    <x v="0"/>
    <x v="0"/>
    <x v="0"/>
    <x v="10"/>
    <x v="0"/>
    <x v="12"/>
  </r>
  <r>
    <x v="284"/>
    <x v="130"/>
    <x v="2"/>
    <x v="283"/>
    <x v="258"/>
    <x v="0"/>
    <x v="1"/>
    <x v="2"/>
    <x v="0"/>
    <x v="1"/>
    <x v="1"/>
    <x v="0"/>
    <x v="0"/>
    <x v="2"/>
    <x v="0"/>
    <x v="2"/>
  </r>
  <r>
    <x v="285"/>
    <x v="131"/>
    <x v="1"/>
    <x v="284"/>
    <x v="259"/>
    <x v="1"/>
    <x v="0"/>
    <x v="1"/>
    <x v="1"/>
    <x v="1"/>
    <x v="1"/>
    <x v="1"/>
    <x v="1"/>
    <x v="1"/>
    <x v="1"/>
    <x v="1"/>
  </r>
  <r>
    <x v="286"/>
    <x v="181"/>
    <x v="0"/>
    <x v="285"/>
    <x v="260"/>
    <x v="1"/>
    <x v="1"/>
    <x v="0"/>
    <x v="0"/>
    <x v="0"/>
    <x v="0"/>
    <x v="0"/>
    <x v="0"/>
    <x v="7"/>
    <x v="0"/>
    <x v="8"/>
  </r>
  <r>
    <x v="287"/>
    <x v="272"/>
    <x v="2"/>
    <x v="286"/>
    <x v="261"/>
    <x v="0"/>
    <x v="0"/>
    <x v="2"/>
    <x v="2"/>
    <x v="1"/>
    <x v="1"/>
    <x v="0"/>
    <x v="0"/>
    <x v="9"/>
    <x v="0"/>
    <x v="10"/>
  </r>
  <r>
    <x v="288"/>
    <x v="273"/>
    <x v="1"/>
    <x v="287"/>
    <x v="262"/>
    <x v="0"/>
    <x v="1"/>
    <x v="1"/>
    <x v="0"/>
    <x v="1"/>
    <x v="1"/>
    <x v="1"/>
    <x v="1"/>
    <x v="5"/>
    <x v="0"/>
    <x v="11"/>
  </r>
  <r>
    <x v="289"/>
    <x v="274"/>
    <x v="0"/>
    <x v="288"/>
    <x v="263"/>
    <x v="1"/>
    <x v="0"/>
    <x v="0"/>
    <x v="1"/>
    <x v="0"/>
    <x v="0"/>
    <x v="0"/>
    <x v="0"/>
    <x v="0"/>
    <x v="0"/>
    <x v="0"/>
  </r>
  <r>
    <x v="290"/>
    <x v="275"/>
    <x v="2"/>
    <x v="289"/>
    <x v="264"/>
    <x v="1"/>
    <x v="1"/>
    <x v="2"/>
    <x v="0"/>
    <x v="1"/>
    <x v="1"/>
    <x v="0"/>
    <x v="0"/>
    <x v="2"/>
    <x v="0"/>
    <x v="2"/>
  </r>
  <r>
    <x v="291"/>
    <x v="276"/>
    <x v="1"/>
    <x v="290"/>
    <x v="265"/>
    <x v="1"/>
    <x v="0"/>
    <x v="1"/>
    <x v="2"/>
    <x v="1"/>
    <x v="1"/>
    <x v="1"/>
    <x v="1"/>
    <x v="1"/>
    <x v="1"/>
    <x v="1"/>
  </r>
  <r>
    <x v="292"/>
    <x v="277"/>
    <x v="0"/>
    <x v="291"/>
    <x v="266"/>
    <x v="0"/>
    <x v="1"/>
    <x v="0"/>
    <x v="0"/>
    <x v="0"/>
    <x v="0"/>
    <x v="0"/>
    <x v="0"/>
    <x v="3"/>
    <x v="0"/>
    <x v="3"/>
  </r>
  <r>
    <x v="293"/>
    <x v="278"/>
    <x v="2"/>
    <x v="292"/>
    <x v="267"/>
    <x v="1"/>
    <x v="0"/>
    <x v="2"/>
    <x v="1"/>
    <x v="1"/>
    <x v="1"/>
    <x v="0"/>
    <x v="0"/>
    <x v="6"/>
    <x v="0"/>
    <x v="7"/>
  </r>
  <r>
    <x v="294"/>
    <x v="279"/>
    <x v="1"/>
    <x v="293"/>
    <x v="268"/>
    <x v="1"/>
    <x v="1"/>
    <x v="1"/>
    <x v="0"/>
    <x v="1"/>
    <x v="1"/>
    <x v="1"/>
    <x v="1"/>
    <x v="4"/>
    <x v="0"/>
    <x v="4"/>
  </r>
  <r>
    <x v="295"/>
    <x v="280"/>
    <x v="1"/>
    <x v="294"/>
    <x v="269"/>
    <x v="1"/>
    <x v="1"/>
    <x v="1"/>
    <x v="1"/>
    <x v="1"/>
    <x v="1"/>
    <x v="1"/>
    <x v="1"/>
    <x v="0"/>
    <x v="0"/>
    <x v="15"/>
  </r>
  <r>
    <x v="296"/>
    <x v="280"/>
    <x v="0"/>
    <x v="295"/>
    <x v="270"/>
    <x v="1"/>
    <x v="1"/>
    <x v="1"/>
    <x v="1"/>
    <x v="0"/>
    <x v="0"/>
    <x v="0"/>
    <x v="0"/>
    <x v="1"/>
    <x v="1"/>
    <x v="6"/>
  </r>
  <r>
    <x v="297"/>
    <x v="280"/>
    <x v="2"/>
    <x v="296"/>
    <x v="271"/>
    <x v="1"/>
    <x v="1"/>
    <x v="0"/>
    <x v="1"/>
    <x v="1"/>
    <x v="1"/>
    <x v="1"/>
    <x v="1"/>
    <x v="2"/>
    <x v="0"/>
    <x v="1"/>
  </r>
  <r>
    <x v="298"/>
    <x v="280"/>
    <x v="1"/>
    <x v="297"/>
    <x v="272"/>
    <x v="1"/>
    <x v="1"/>
    <x v="2"/>
    <x v="1"/>
    <x v="1"/>
    <x v="1"/>
    <x v="1"/>
    <x v="1"/>
    <x v="3"/>
    <x v="0"/>
    <x v="16"/>
  </r>
  <r>
    <x v="297"/>
    <x v="280"/>
    <x v="0"/>
    <x v="298"/>
    <x v="273"/>
    <x v="1"/>
    <x v="1"/>
    <x v="1"/>
    <x v="1"/>
    <x v="0"/>
    <x v="0"/>
    <x v="0"/>
    <x v="0"/>
    <x v="4"/>
    <x v="0"/>
    <x v="17"/>
  </r>
  <r>
    <x v="299"/>
    <x v="280"/>
    <x v="2"/>
    <x v="299"/>
    <x v="274"/>
    <x v="1"/>
    <x v="1"/>
    <x v="1"/>
    <x v="1"/>
    <x v="1"/>
    <x v="1"/>
    <x v="1"/>
    <x v="1"/>
    <x v="5"/>
    <x v="0"/>
    <x v="11"/>
  </r>
  <r>
    <x v="297"/>
    <x v="280"/>
    <x v="1"/>
    <x v="300"/>
    <x v="275"/>
    <x v="1"/>
    <x v="1"/>
    <x v="0"/>
    <x v="1"/>
    <x v="1"/>
    <x v="1"/>
    <x v="1"/>
    <x v="1"/>
    <x v="2"/>
    <x v="0"/>
    <x v="1"/>
  </r>
  <r>
    <x v="300"/>
    <x v="280"/>
    <x v="0"/>
    <x v="301"/>
    <x v="276"/>
    <x v="1"/>
    <x v="1"/>
    <x v="2"/>
    <x v="1"/>
    <x v="0"/>
    <x v="0"/>
    <x v="0"/>
    <x v="0"/>
    <x v="1"/>
    <x v="1"/>
    <x v="0"/>
  </r>
  <r>
    <x v="297"/>
    <x v="280"/>
    <x v="2"/>
    <x v="302"/>
    <x v="277"/>
    <x v="1"/>
    <x v="1"/>
    <x v="3"/>
    <x v="1"/>
    <x v="1"/>
    <x v="1"/>
    <x v="1"/>
    <x v="1"/>
    <x v="0"/>
    <x v="0"/>
    <x v="7"/>
  </r>
  <r>
    <x v="301"/>
    <x v="280"/>
    <x v="1"/>
    <x v="303"/>
    <x v="278"/>
    <x v="1"/>
    <x v="1"/>
    <x v="0"/>
    <x v="1"/>
    <x v="1"/>
    <x v="1"/>
    <x v="1"/>
    <x v="1"/>
    <x v="5"/>
    <x v="0"/>
    <x v="18"/>
  </r>
  <r>
    <x v="297"/>
    <x v="280"/>
    <x v="0"/>
    <x v="304"/>
    <x v="279"/>
    <x v="1"/>
    <x v="1"/>
    <x v="0"/>
    <x v="1"/>
    <x v="0"/>
    <x v="0"/>
    <x v="0"/>
    <x v="0"/>
    <x v="0"/>
    <x v="0"/>
    <x v="0"/>
  </r>
  <r>
    <x v="297"/>
    <x v="280"/>
    <x v="2"/>
    <x v="305"/>
    <x v="280"/>
    <x v="1"/>
    <x v="1"/>
    <x v="2"/>
    <x v="1"/>
    <x v="1"/>
    <x v="1"/>
    <x v="1"/>
    <x v="1"/>
    <x v="3"/>
    <x v="0"/>
    <x v="16"/>
  </r>
  <r>
    <x v="297"/>
    <x v="280"/>
    <x v="1"/>
    <x v="306"/>
    <x v="281"/>
    <x v="1"/>
    <x v="1"/>
    <x v="0"/>
    <x v="1"/>
    <x v="1"/>
    <x v="1"/>
    <x v="1"/>
    <x v="1"/>
    <x v="3"/>
    <x v="0"/>
    <x v="19"/>
  </r>
  <r>
    <x v="297"/>
    <x v="280"/>
    <x v="0"/>
    <x v="307"/>
    <x v="282"/>
    <x v="1"/>
    <x v="1"/>
    <x v="1"/>
    <x v="1"/>
    <x v="0"/>
    <x v="0"/>
    <x v="0"/>
    <x v="0"/>
    <x v="1"/>
    <x v="1"/>
    <x v="6"/>
  </r>
  <r>
    <x v="297"/>
    <x v="280"/>
    <x v="2"/>
    <x v="308"/>
    <x v="283"/>
    <x v="1"/>
    <x v="1"/>
    <x v="0"/>
    <x v="1"/>
    <x v="1"/>
    <x v="1"/>
    <x v="1"/>
    <x v="1"/>
    <x v="8"/>
    <x v="0"/>
    <x v="16"/>
  </r>
  <r>
    <x v="297"/>
    <x v="280"/>
    <x v="1"/>
    <x v="309"/>
    <x v="284"/>
    <x v="1"/>
    <x v="0"/>
    <x v="2"/>
    <x v="1"/>
    <x v="1"/>
    <x v="1"/>
    <x v="1"/>
    <x v="1"/>
    <x v="11"/>
    <x v="0"/>
    <x v="20"/>
  </r>
  <r>
    <x v="297"/>
    <x v="280"/>
    <x v="0"/>
    <x v="310"/>
    <x v="285"/>
    <x v="1"/>
    <x v="0"/>
    <x v="1"/>
    <x v="1"/>
    <x v="0"/>
    <x v="0"/>
    <x v="0"/>
    <x v="0"/>
    <x v="5"/>
    <x v="0"/>
    <x v="21"/>
  </r>
  <r>
    <x v="297"/>
    <x v="280"/>
    <x v="2"/>
    <x v="311"/>
    <x v="286"/>
    <x v="1"/>
    <x v="0"/>
    <x v="1"/>
    <x v="1"/>
    <x v="1"/>
    <x v="1"/>
    <x v="1"/>
    <x v="1"/>
    <x v="4"/>
    <x v="0"/>
    <x v="4"/>
  </r>
  <r>
    <x v="297"/>
    <x v="280"/>
    <x v="1"/>
    <x v="312"/>
    <x v="287"/>
    <x v="1"/>
    <x v="0"/>
    <x v="0"/>
    <x v="1"/>
    <x v="1"/>
    <x v="1"/>
    <x v="1"/>
    <x v="1"/>
    <x v="0"/>
    <x v="0"/>
    <x v="20"/>
  </r>
  <r>
    <x v="297"/>
    <x v="280"/>
    <x v="0"/>
    <x v="277"/>
    <x v="288"/>
    <x v="1"/>
    <x v="0"/>
    <x v="2"/>
    <x v="1"/>
    <x v="0"/>
    <x v="0"/>
    <x v="0"/>
    <x v="0"/>
    <x v="2"/>
    <x v="0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_x000a_Dinâmica1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B14:C17" firstHeaderRow="1" firstDataRow="1" firstDataCol="1"/>
  <pivotFields count="16">
    <pivotField dataField="1" compact="0" showAll="0">
      <items count="3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7"/>
        <item x="300"/>
        <item x="301"/>
        <item x="295"/>
        <item x="296"/>
        <item x="298"/>
        <item x="299"/>
        <item t="default"/>
      </items>
    </pivotField>
    <pivotField compact="0"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58" showAll="0">
      <items count="314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1"/>
        <item x="272"/>
        <item x="273"/>
        <item x="274"/>
        <item x="275"/>
        <item x="276"/>
        <item x="278"/>
        <item x="279"/>
        <item x="280"/>
        <item x="281"/>
        <item x="282"/>
        <item x="283"/>
        <item x="284"/>
        <item x="286"/>
        <item x="287"/>
        <item x="288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277"/>
        <item x="270"/>
        <item x="285"/>
        <item x="289"/>
        <item x="290"/>
        <item x="293"/>
        <item t="default"/>
      </items>
    </pivotField>
    <pivotField compact="0" numFmtId="181" showAll="0">
      <items count="290">
        <item x="1"/>
        <item x="207"/>
        <item x="224"/>
        <item x="7"/>
        <item x="228"/>
        <item x="10"/>
        <item x="232"/>
        <item x="14"/>
        <item x="235"/>
        <item x="237"/>
        <item x="18"/>
        <item x="241"/>
        <item x="22"/>
        <item x="26"/>
        <item x="30"/>
        <item x="249"/>
        <item x="36"/>
        <item x="253"/>
        <item x="40"/>
        <item x="257"/>
        <item x="44"/>
        <item x="261"/>
        <item x="48"/>
        <item x="52"/>
        <item x="56"/>
        <item x="60"/>
        <item x="66"/>
        <item x="70"/>
        <item x="74"/>
        <item x="78"/>
        <item x="82"/>
        <item x="86"/>
        <item x="90"/>
        <item x="94"/>
        <item x="95"/>
        <item x="98"/>
        <item x="104"/>
        <item x="108"/>
        <item x="112"/>
        <item x="116"/>
        <item x="120"/>
        <item x="123"/>
        <item x="126"/>
        <item x="131"/>
        <item x="135"/>
        <item x="139"/>
        <item x="143"/>
        <item x="147"/>
        <item x="150"/>
        <item x="153"/>
        <item x="156"/>
        <item x="160"/>
        <item x="164"/>
        <item x="167"/>
        <item x="170"/>
        <item x="173"/>
        <item x="176"/>
        <item x="179"/>
        <item x="182"/>
        <item x="184"/>
        <item x="189"/>
        <item x="193"/>
        <item x="197"/>
        <item x="201"/>
        <item x="205"/>
        <item x="208"/>
        <item x="211"/>
        <item x="214"/>
        <item x="218"/>
        <item x="222"/>
        <item x="226"/>
        <item x="230"/>
        <item x="236"/>
        <item x="240"/>
        <item x="243"/>
        <item x="244"/>
        <item x="247"/>
        <item x="251"/>
        <item x="255"/>
        <item x="259"/>
        <item x="263"/>
        <item x="267"/>
        <item x="0"/>
        <item x="2"/>
        <item x="3"/>
        <item x="4"/>
        <item x="5"/>
        <item x="6"/>
        <item x="8"/>
        <item x="9"/>
        <item x="11"/>
        <item x="12"/>
        <item x="13"/>
        <item x="15"/>
        <item x="16"/>
        <item x="17"/>
        <item x="19"/>
        <item x="20"/>
        <item x="21"/>
        <item x="23"/>
        <item x="24"/>
        <item x="25"/>
        <item x="27"/>
        <item x="28"/>
        <item x="29"/>
        <item x="31"/>
        <item x="32"/>
        <item x="33"/>
        <item x="34"/>
        <item x="35"/>
        <item x="37"/>
        <item x="38"/>
        <item x="39"/>
        <item x="41"/>
        <item x="42"/>
        <item x="43"/>
        <item x="45"/>
        <item x="46"/>
        <item x="47"/>
        <item x="49"/>
        <item x="50"/>
        <item x="51"/>
        <item x="53"/>
        <item x="54"/>
        <item x="55"/>
        <item x="57"/>
        <item x="58"/>
        <item x="59"/>
        <item x="61"/>
        <item x="62"/>
        <item x="63"/>
        <item x="64"/>
        <item x="65"/>
        <item x="67"/>
        <item x="68"/>
        <item x="69"/>
        <item x="71"/>
        <item x="72"/>
        <item x="73"/>
        <item x="75"/>
        <item x="76"/>
        <item x="77"/>
        <item x="79"/>
        <item x="80"/>
        <item x="81"/>
        <item x="83"/>
        <item x="84"/>
        <item x="85"/>
        <item x="87"/>
        <item x="88"/>
        <item x="89"/>
        <item x="91"/>
        <item x="92"/>
        <item x="93"/>
        <item x="96"/>
        <item x="97"/>
        <item x="99"/>
        <item x="100"/>
        <item x="101"/>
        <item x="102"/>
        <item x="103"/>
        <item x="105"/>
        <item x="106"/>
        <item x="107"/>
        <item x="109"/>
        <item x="110"/>
        <item x="111"/>
        <item x="113"/>
        <item x="114"/>
        <item x="115"/>
        <item x="117"/>
        <item x="118"/>
        <item x="119"/>
        <item x="121"/>
        <item x="122"/>
        <item x="124"/>
        <item x="125"/>
        <item x="127"/>
        <item x="128"/>
        <item x="129"/>
        <item x="130"/>
        <item x="132"/>
        <item x="133"/>
        <item x="134"/>
        <item x="136"/>
        <item x="137"/>
        <item x="138"/>
        <item x="140"/>
        <item x="141"/>
        <item x="142"/>
        <item x="144"/>
        <item x="145"/>
        <item x="146"/>
        <item x="148"/>
        <item x="149"/>
        <item x="151"/>
        <item x="152"/>
        <item x="154"/>
        <item x="155"/>
        <item x="157"/>
        <item x="158"/>
        <item x="159"/>
        <item x="161"/>
        <item x="162"/>
        <item x="163"/>
        <item x="165"/>
        <item x="166"/>
        <item x="168"/>
        <item x="169"/>
        <item x="171"/>
        <item x="172"/>
        <item x="174"/>
        <item x="175"/>
        <item x="177"/>
        <item x="178"/>
        <item x="180"/>
        <item x="181"/>
        <item x="183"/>
        <item x="185"/>
        <item x="186"/>
        <item x="187"/>
        <item x="188"/>
        <item x="190"/>
        <item x="191"/>
        <item x="192"/>
        <item x="194"/>
        <item x="195"/>
        <item x="196"/>
        <item x="198"/>
        <item x="199"/>
        <item x="200"/>
        <item x="202"/>
        <item x="203"/>
        <item x="204"/>
        <item x="206"/>
        <item x="209"/>
        <item x="210"/>
        <item x="212"/>
        <item x="213"/>
        <item x="215"/>
        <item x="216"/>
        <item x="217"/>
        <item x="219"/>
        <item x="220"/>
        <item x="221"/>
        <item x="223"/>
        <item x="225"/>
        <item x="227"/>
        <item x="229"/>
        <item x="231"/>
        <item x="233"/>
        <item x="234"/>
        <item x="238"/>
        <item x="239"/>
        <item x="242"/>
        <item x="245"/>
        <item x="248"/>
        <item x="250"/>
        <item x="254"/>
        <item x="256"/>
        <item x="258"/>
        <item x="262"/>
        <item x="266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46"/>
        <item x="252"/>
        <item x="260"/>
        <item x="264"/>
        <item x="265"/>
        <item x="268"/>
        <item t="default"/>
      </items>
    </pivotField>
    <pivotField axis="axisRow" compact="0" multipleItemSelectionAllowed="1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numFmtId="177" showAll="0">
      <items count="5">
        <item x="1"/>
        <item x="2"/>
        <item x="0"/>
        <item x="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numFmtId="177" showAll="0">
      <items count="3">
        <item x="0"/>
        <item x="1"/>
        <item t="default"/>
      </items>
    </pivotField>
    <pivotField compact="0" numFmtId="177" showAll="0">
      <items count="13">
        <item x="1"/>
        <item x="4"/>
        <item x="5"/>
        <item x="3"/>
        <item x="0"/>
        <item x="10"/>
        <item x="8"/>
        <item x="2"/>
        <item x="9"/>
        <item x="6"/>
        <item x="7"/>
        <item x="11"/>
        <item t="default"/>
      </items>
    </pivotField>
    <pivotField compact="0" showAll="0">
      <items count="5">
        <item m="1" x="3"/>
        <item m="1" x="2"/>
        <item x="0"/>
        <item x="1"/>
        <item t="default"/>
      </items>
    </pivotField>
    <pivotField compact="0" numFmtId="177" showAll="0">
      <items count="23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_x000a_Dinâmica2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B29:C32" firstHeaderRow="1" firstDataRow="1" firstDataCol="1"/>
  <pivotFields count="16">
    <pivotField compact="0" showAll="0">
      <items count="3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7"/>
        <item x="300"/>
        <item x="301"/>
        <item x="295"/>
        <item x="296"/>
        <item x="298"/>
        <item x="299"/>
        <item t="default"/>
      </items>
    </pivotField>
    <pivotField compact="0"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58" showAll="0">
      <items count="314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1"/>
        <item x="272"/>
        <item x="273"/>
        <item x="274"/>
        <item x="275"/>
        <item x="276"/>
        <item x="278"/>
        <item x="279"/>
        <item x="280"/>
        <item x="281"/>
        <item x="282"/>
        <item x="283"/>
        <item x="284"/>
        <item x="286"/>
        <item x="287"/>
        <item x="288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277"/>
        <item x="270"/>
        <item x="285"/>
        <item x="289"/>
        <item x="290"/>
        <item x="293"/>
        <item t="default"/>
      </items>
    </pivotField>
    <pivotField compact="0" numFmtId="181" showAll="0">
      <items count="290">
        <item x="1"/>
        <item x="207"/>
        <item x="224"/>
        <item x="7"/>
        <item x="228"/>
        <item x="10"/>
        <item x="232"/>
        <item x="14"/>
        <item x="235"/>
        <item x="237"/>
        <item x="18"/>
        <item x="241"/>
        <item x="22"/>
        <item x="26"/>
        <item x="30"/>
        <item x="249"/>
        <item x="36"/>
        <item x="253"/>
        <item x="40"/>
        <item x="257"/>
        <item x="44"/>
        <item x="261"/>
        <item x="48"/>
        <item x="52"/>
        <item x="56"/>
        <item x="60"/>
        <item x="66"/>
        <item x="70"/>
        <item x="74"/>
        <item x="78"/>
        <item x="82"/>
        <item x="86"/>
        <item x="90"/>
        <item x="94"/>
        <item x="95"/>
        <item x="98"/>
        <item x="104"/>
        <item x="108"/>
        <item x="112"/>
        <item x="116"/>
        <item x="120"/>
        <item x="123"/>
        <item x="126"/>
        <item x="131"/>
        <item x="135"/>
        <item x="139"/>
        <item x="143"/>
        <item x="147"/>
        <item x="150"/>
        <item x="153"/>
        <item x="156"/>
        <item x="160"/>
        <item x="164"/>
        <item x="167"/>
        <item x="170"/>
        <item x="173"/>
        <item x="176"/>
        <item x="179"/>
        <item x="182"/>
        <item x="184"/>
        <item x="189"/>
        <item x="193"/>
        <item x="197"/>
        <item x="201"/>
        <item x="205"/>
        <item x="208"/>
        <item x="211"/>
        <item x="214"/>
        <item x="218"/>
        <item x="222"/>
        <item x="226"/>
        <item x="230"/>
        <item x="236"/>
        <item x="240"/>
        <item x="243"/>
        <item x="244"/>
        <item x="247"/>
        <item x="251"/>
        <item x="255"/>
        <item x="259"/>
        <item x="263"/>
        <item x="267"/>
        <item x="0"/>
        <item x="2"/>
        <item x="3"/>
        <item x="4"/>
        <item x="5"/>
        <item x="6"/>
        <item x="8"/>
        <item x="9"/>
        <item x="11"/>
        <item x="12"/>
        <item x="13"/>
        <item x="15"/>
        <item x="16"/>
        <item x="17"/>
        <item x="19"/>
        <item x="20"/>
        <item x="21"/>
        <item x="23"/>
        <item x="24"/>
        <item x="25"/>
        <item x="27"/>
        <item x="28"/>
        <item x="29"/>
        <item x="31"/>
        <item x="32"/>
        <item x="33"/>
        <item x="34"/>
        <item x="35"/>
        <item x="37"/>
        <item x="38"/>
        <item x="39"/>
        <item x="41"/>
        <item x="42"/>
        <item x="43"/>
        <item x="45"/>
        <item x="46"/>
        <item x="47"/>
        <item x="49"/>
        <item x="50"/>
        <item x="51"/>
        <item x="53"/>
        <item x="54"/>
        <item x="55"/>
        <item x="57"/>
        <item x="58"/>
        <item x="59"/>
        <item x="61"/>
        <item x="62"/>
        <item x="63"/>
        <item x="64"/>
        <item x="65"/>
        <item x="67"/>
        <item x="68"/>
        <item x="69"/>
        <item x="71"/>
        <item x="72"/>
        <item x="73"/>
        <item x="75"/>
        <item x="76"/>
        <item x="77"/>
        <item x="79"/>
        <item x="80"/>
        <item x="81"/>
        <item x="83"/>
        <item x="84"/>
        <item x="85"/>
        <item x="87"/>
        <item x="88"/>
        <item x="89"/>
        <item x="91"/>
        <item x="92"/>
        <item x="93"/>
        <item x="96"/>
        <item x="97"/>
        <item x="99"/>
        <item x="100"/>
        <item x="101"/>
        <item x="102"/>
        <item x="103"/>
        <item x="105"/>
        <item x="106"/>
        <item x="107"/>
        <item x="109"/>
        <item x="110"/>
        <item x="111"/>
        <item x="113"/>
        <item x="114"/>
        <item x="115"/>
        <item x="117"/>
        <item x="118"/>
        <item x="119"/>
        <item x="121"/>
        <item x="122"/>
        <item x="124"/>
        <item x="125"/>
        <item x="127"/>
        <item x="128"/>
        <item x="129"/>
        <item x="130"/>
        <item x="132"/>
        <item x="133"/>
        <item x="134"/>
        <item x="136"/>
        <item x="137"/>
        <item x="138"/>
        <item x="140"/>
        <item x="141"/>
        <item x="142"/>
        <item x="144"/>
        <item x="145"/>
        <item x="146"/>
        <item x="148"/>
        <item x="149"/>
        <item x="151"/>
        <item x="152"/>
        <item x="154"/>
        <item x="155"/>
        <item x="157"/>
        <item x="158"/>
        <item x="159"/>
        <item x="161"/>
        <item x="162"/>
        <item x="163"/>
        <item x="165"/>
        <item x="166"/>
        <item x="168"/>
        <item x="169"/>
        <item x="171"/>
        <item x="172"/>
        <item x="174"/>
        <item x="175"/>
        <item x="177"/>
        <item x="178"/>
        <item x="180"/>
        <item x="181"/>
        <item x="183"/>
        <item x="185"/>
        <item x="186"/>
        <item x="187"/>
        <item x="188"/>
        <item x="190"/>
        <item x="191"/>
        <item x="192"/>
        <item x="194"/>
        <item x="195"/>
        <item x="196"/>
        <item x="198"/>
        <item x="199"/>
        <item x="200"/>
        <item x="202"/>
        <item x="203"/>
        <item x="204"/>
        <item x="206"/>
        <item x="209"/>
        <item x="210"/>
        <item x="212"/>
        <item x="213"/>
        <item x="215"/>
        <item x="216"/>
        <item x="217"/>
        <item x="219"/>
        <item x="220"/>
        <item x="221"/>
        <item x="223"/>
        <item x="225"/>
        <item x="227"/>
        <item x="229"/>
        <item x="231"/>
        <item x="233"/>
        <item x="234"/>
        <item x="238"/>
        <item x="239"/>
        <item x="242"/>
        <item x="245"/>
        <item x="248"/>
        <item x="250"/>
        <item x="254"/>
        <item x="256"/>
        <item x="258"/>
        <item x="262"/>
        <item x="266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46"/>
        <item x="252"/>
        <item x="260"/>
        <item x="264"/>
        <item x="265"/>
        <item x="268"/>
        <item t="default"/>
      </items>
    </pivotField>
    <pivotField compact="0" multipleItemSelectionAllowed="1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numFmtId="177" showAll="0">
      <items count="5">
        <item x="1"/>
        <item x="2"/>
        <item x="0"/>
        <item x="3"/>
        <item t="default"/>
      </items>
    </pivotField>
    <pivotField compact="0" showAll="0">
      <items count="4">
        <item x="1"/>
        <item x="0"/>
        <item x="2"/>
        <item t="default"/>
      </items>
    </pivotField>
    <pivotField axis="axisRow" dataField="1" compact="0" defaultSubtotal="0" multipleItemSelectionAllowed="1">
      <items count="2">
        <item x="1"/>
        <item x="0"/>
      </items>
    </pivotField>
    <pivotField compact="0" showAll="0">
      <items count="3">
        <item x="0"/>
        <item x="1"/>
        <item t="default"/>
      </items>
    </pivotField>
    <pivotField compact="0" outline="0" subtotalTop="0">
      <items count="3">
        <item sd="0" x="1"/>
        <item x="0"/>
        <item t="default"/>
      </items>
    </pivotField>
    <pivotField compact="0" numFmtId="177" showAll="0">
      <items count="3">
        <item x="0"/>
        <item x="1"/>
        <item t="default"/>
      </items>
    </pivotField>
    <pivotField compact="0" numFmtId="177" showAll="0">
      <items count="13">
        <item x="1"/>
        <item x="4"/>
        <item x="5"/>
        <item x="3"/>
        <item x="0"/>
        <item x="10"/>
        <item x="8"/>
        <item x="2"/>
        <item x="9"/>
        <item x="6"/>
        <item x="7"/>
        <item x="11"/>
        <item t="default"/>
      </items>
    </pivotField>
    <pivotField compact="0" showAll="0">
      <items count="5">
        <item m="1" x="3"/>
        <item m="1" x="2"/>
        <item x="0"/>
        <item x="1"/>
        <item t="default"/>
      </items>
    </pivotField>
    <pivotField compact="0" numFmtId="177" showAll="0">
      <items count="23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ntagem de EA Play Season Pass" fld="9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_x000a_Dinâmica4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B36:C39" firstHeaderRow="1" firstDataRow="1" firstDataCol="1"/>
  <pivotFields count="16">
    <pivotField compact="0" showAll="0">
      <items count="3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7"/>
        <item x="300"/>
        <item x="301"/>
        <item x="295"/>
        <item x="296"/>
        <item x="298"/>
        <item x="299"/>
        <item t="default"/>
      </items>
    </pivotField>
    <pivotField compact="0"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58" showAll="0">
      <items count="314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1"/>
        <item x="272"/>
        <item x="273"/>
        <item x="274"/>
        <item x="275"/>
        <item x="276"/>
        <item x="278"/>
        <item x="279"/>
        <item x="280"/>
        <item x="281"/>
        <item x="282"/>
        <item x="283"/>
        <item x="284"/>
        <item x="286"/>
        <item x="287"/>
        <item x="288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277"/>
        <item x="270"/>
        <item x="285"/>
        <item x="289"/>
        <item x="290"/>
        <item x="293"/>
        <item t="default"/>
      </items>
    </pivotField>
    <pivotField compact="0" numFmtId="181" showAll="0">
      <items count="290">
        <item x="1"/>
        <item x="207"/>
        <item x="224"/>
        <item x="7"/>
        <item x="228"/>
        <item x="10"/>
        <item x="232"/>
        <item x="14"/>
        <item x="235"/>
        <item x="237"/>
        <item x="18"/>
        <item x="241"/>
        <item x="22"/>
        <item x="26"/>
        <item x="30"/>
        <item x="249"/>
        <item x="36"/>
        <item x="253"/>
        <item x="40"/>
        <item x="257"/>
        <item x="44"/>
        <item x="261"/>
        <item x="48"/>
        <item x="52"/>
        <item x="56"/>
        <item x="60"/>
        <item x="66"/>
        <item x="70"/>
        <item x="74"/>
        <item x="78"/>
        <item x="82"/>
        <item x="86"/>
        <item x="90"/>
        <item x="94"/>
        <item x="95"/>
        <item x="98"/>
        <item x="104"/>
        <item x="108"/>
        <item x="112"/>
        <item x="116"/>
        <item x="120"/>
        <item x="123"/>
        <item x="126"/>
        <item x="131"/>
        <item x="135"/>
        <item x="139"/>
        <item x="143"/>
        <item x="147"/>
        <item x="150"/>
        <item x="153"/>
        <item x="156"/>
        <item x="160"/>
        <item x="164"/>
        <item x="167"/>
        <item x="170"/>
        <item x="173"/>
        <item x="176"/>
        <item x="179"/>
        <item x="182"/>
        <item x="184"/>
        <item x="189"/>
        <item x="193"/>
        <item x="197"/>
        <item x="201"/>
        <item x="205"/>
        <item x="208"/>
        <item x="211"/>
        <item x="214"/>
        <item x="218"/>
        <item x="222"/>
        <item x="226"/>
        <item x="230"/>
        <item x="236"/>
        <item x="240"/>
        <item x="243"/>
        <item x="244"/>
        <item x="247"/>
        <item x="251"/>
        <item x="255"/>
        <item x="259"/>
        <item x="263"/>
        <item x="267"/>
        <item x="0"/>
        <item x="2"/>
        <item x="3"/>
        <item x="4"/>
        <item x="5"/>
        <item x="6"/>
        <item x="8"/>
        <item x="9"/>
        <item x="11"/>
        <item x="12"/>
        <item x="13"/>
        <item x="15"/>
        <item x="16"/>
        <item x="17"/>
        <item x="19"/>
        <item x="20"/>
        <item x="21"/>
        <item x="23"/>
        <item x="24"/>
        <item x="25"/>
        <item x="27"/>
        <item x="28"/>
        <item x="29"/>
        <item x="31"/>
        <item x="32"/>
        <item x="33"/>
        <item x="34"/>
        <item x="35"/>
        <item x="37"/>
        <item x="38"/>
        <item x="39"/>
        <item x="41"/>
        <item x="42"/>
        <item x="43"/>
        <item x="45"/>
        <item x="46"/>
        <item x="47"/>
        <item x="49"/>
        <item x="50"/>
        <item x="51"/>
        <item x="53"/>
        <item x="54"/>
        <item x="55"/>
        <item x="57"/>
        <item x="58"/>
        <item x="59"/>
        <item x="61"/>
        <item x="62"/>
        <item x="63"/>
        <item x="64"/>
        <item x="65"/>
        <item x="67"/>
        <item x="68"/>
        <item x="69"/>
        <item x="71"/>
        <item x="72"/>
        <item x="73"/>
        <item x="75"/>
        <item x="76"/>
        <item x="77"/>
        <item x="79"/>
        <item x="80"/>
        <item x="81"/>
        <item x="83"/>
        <item x="84"/>
        <item x="85"/>
        <item x="87"/>
        <item x="88"/>
        <item x="89"/>
        <item x="91"/>
        <item x="92"/>
        <item x="93"/>
        <item x="96"/>
        <item x="97"/>
        <item x="99"/>
        <item x="100"/>
        <item x="101"/>
        <item x="102"/>
        <item x="103"/>
        <item x="105"/>
        <item x="106"/>
        <item x="107"/>
        <item x="109"/>
        <item x="110"/>
        <item x="111"/>
        <item x="113"/>
        <item x="114"/>
        <item x="115"/>
        <item x="117"/>
        <item x="118"/>
        <item x="119"/>
        <item x="121"/>
        <item x="122"/>
        <item x="124"/>
        <item x="125"/>
        <item x="127"/>
        <item x="128"/>
        <item x="129"/>
        <item x="130"/>
        <item x="132"/>
        <item x="133"/>
        <item x="134"/>
        <item x="136"/>
        <item x="137"/>
        <item x="138"/>
        <item x="140"/>
        <item x="141"/>
        <item x="142"/>
        <item x="144"/>
        <item x="145"/>
        <item x="146"/>
        <item x="148"/>
        <item x="149"/>
        <item x="151"/>
        <item x="152"/>
        <item x="154"/>
        <item x="155"/>
        <item x="157"/>
        <item x="158"/>
        <item x="159"/>
        <item x="161"/>
        <item x="162"/>
        <item x="163"/>
        <item x="165"/>
        <item x="166"/>
        <item x="168"/>
        <item x="169"/>
        <item x="171"/>
        <item x="172"/>
        <item x="174"/>
        <item x="175"/>
        <item x="177"/>
        <item x="178"/>
        <item x="180"/>
        <item x="181"/>
        <item x="183"/>
        <item x="185"/>
        <item x="186"/>
        <item x="187"/>
        <item x="188"/>
        <item x="190"/>
        <item x="191"/>
        <item x="192"/>
        <item x="194"/>
        <item x="195"/>
        <item x="196"/>
        <item x="198"/>
        <item x="199"/>
        <item x="200"/>
        <item x="202"/>
        <item x="203"/>
        <item x="204"/>
        <item x="206"/>
        <item x="209"/>
        <item x="210"/>
        <item x="212"/>
        <item x="213"/>
        <item x="215"/>
        <item x="216"/>
        <item x="217"/>
        <item x="219"/>
        <item x="220"/>
        <item x="221"/>
        <item x="223"/>
        <item x="225"/>
        <item x="227"/>
        <item x="229"/>
        <item x="231"/>
        <item x="233"/>
        <item x="234"/>
        <item x="238"/>
        <item x="239"/>
        <item x="242"/>
        <item x="245"/>
        <item x="248"/>
        <item x="250"/>
        <item x="254"/>
        <item x="256"/>
        <item x="258"/>
        <item x="262"/>
        <item x="266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46"/>
        <item x="252"/>
        <item x="260"/>
        <item x="264"/>
        <item x="265"/>
        <item x="26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numFmtId="177" showAll="0">
      <items count="5">
        <item x="1"/>
        <item x="2"/>
        <item x="0"/>
        <item x="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dataField="1" compact="0" multipleItemSelectionAllowed="1" showAll="0">
      <items count="3">
        <item x="1"/>
        <item x="0"/>
        <item t="default"/>
      </items>
    </pivotField>
    <pivotField compact="0" numFmtId="177" showAll="0">
      <items count="3">
        <item x="0"/>
        <item x="1"/>
        <item t="default"/>
      </items>
    </pivotField>
    <pivotField compact="0" numFmtId="177" showAll="0">
      <items count="13">
        <item x="1"/>
        <item x="4"/>
        <item x="5"/>
        <item x="3"/>
        <item x="0"/>
        <item x="10"/>
        <item x="8"/>
        <item x="2"/>
        <item x="9"/>
        <item x="6"/>
        <item x="7"/>
        <item x="11"/>
        <item t="default"/>
      </items>
    </pivotField>
    <pivotField compact="0" showAll="0">
      <items count="5">
        <item m="1" x="3"/>
        <item m="1" x="2"/>
        <item x="0"/>
        <item x="1"/>
        <item t="default"/>
      </items>
    </pivotField>
    <pivotField compact="0" numFmtId="177" showAll="0">
      <items count="23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ntagem de Minecraft Season Pass" fld="1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_x000a_Dinâmica5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B43:C46" firstHeaderRow="1" firstDataRow="1" firstDataCol="1"/>
  <pivotFields count="16">
    <pivotField compact="0" showAll="0">
      <items count="3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7"/>
        <item x="300"/>
        <item x="301"/>
        <item x="295"/>
        <item x="296"/>
        <item x="298"/>
        <item x="299"/>
        <item t="default"/>
      </items>
    </pivotField>
    <pivotField compact="0"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58" showAll="0">
      <items count="314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1"/>
        <item x="272"/>
        <item x="273"/>
        <item x="274"/>
        <item x="275"/>
        <item x="276"/>
        <item x="278"/>
        <item x="279"/>
        <item x="280"/>
        <item x="281"/>
        <item x="282"/>
        <item x="283"/>
        <item x="284"/>
        <item x="286"/>
        <item x="287"/>
        <item x="288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277"/>
        <item x="270"/>
        <item x="285"/>
        <item x="289"/>
        <item x="290"/>
        <item x="293"/>
        <item t="default"/>
      </items>
    </pivotField>
    <pivotField compact="0" numFmtId="181" showAll="0">
      <items count="290">
        <item x="1"/>
        <item x="207"/>
        <item x="224"/>
        <item x="7"/>
        <item x="228"/>
        <item x="10"/>
        <item x="232"/>
        <item x="14"/>
        <item x="235"/>
        <item x="237"/>
        <item x="18"/>
        <item x="241"/>
        <item x="22"/>
        <item x="26"/>
        <item x="30"/>
        <item x="249"/>
        <item x="36"/>
        <item x="253"/>
        <item x="40"/>
        <item x="257"/>
        <item x="44"/>
        <item x="261"/>
        <item x="48"/>
        <item x="52"/>
        <item x="56"/>
        <item x="60"/>
        <item x="66"/>
        <item x="70"/>
        <item x="74"/>
        <item x="78"/>
        <item x="82"/>
        <item x="86"/>
        <item x="90"/>
        <item x="94"/>
        <item x="95"/>
        <item x="98"/>
        <item x="104"/>
        <item x="108"/>
        <item x="112"/>
        <item x="116"/>
        <item x="120"/>
        <item x="123"/>
        <item x="126"/>
        <item x="131"/>
        <item x="135"/>
        <item x="139"/>
        <item x="143"/>
        <item x="147"/>
        <item x="150"/>
        <item x="153"/>
        <item x="156"/>
        <item x="160"/>
        <item x="164"/>
        <item x="167"/>
        <item x="170"/>
        <item x="173"/>
        <item x="176"/>
        <item x="179"/>
        <item x="182"/>
        <item x="184"/>
        <item x="189"/>
        <item x="193"/>
        <item x="197"/>
        <item x="201"/>
        <item x="205"/>
        <item x="208"/>
        <item x="211"/>
        <item x="214"/>
        <item x="218"/>
        <item x="222"/>
        <item x="226"/>
        <item x="230"/>
        <item x="236"/>
        <item x="240"/>
        <item x="243"/>
        <item x="244"/>
        <item x="247"/>
        <item x="251"/>
        <item x="255"/>
        <item x="259"/>
        <item x="263"/>
        <item x="267"/>
        <item x="0"/>
        <item x="2"/>
        <item x="3"/>
        <item x="4"/>
        <item x="5"/>
        <item x="6"/>
        <item x="8"/>
        <item x="9"/>
        <item x="11"/>
        <item x="12"/>
        <item x="13"/>
        <item x="15"/>
        <item x="16"/>
        <item x="17"/>
        <item x="19"/>
        <item x="20"/>
        <item x="21"/>
        <item x="23"/>
        <item x="24"/>
        <item x="25"/>
        <item x="27"/>
        <item x="28"/>
        <item x="29"/>
        <item x="31"/>
        <item x="32"/>
        <item x="33"/>
        <item x="34"/>
        <item x="35"/>
        <item x="37"/>
        <item x="38"/>
        <item x="39"/>
        <item x="41"/>
        <item x="42"/>
        <item x="43"/>
        <item x="45"/>
        <item x="46"/>
        <item x="47"/>
        <item x="49"/>
        <item x="50"/>
        <item x="51"/>
        <item x="53"/>
        <item x="54"/>
        <item x="55"/>
        <item x="57"/>
        <item x="58"/>
        <item x="59"/>
        <item x="61"/>
        <item x="62"/>
        <item x="63"/>
        <item x="64"/>
        <item x="65"/>
        <item x="67"/>
        <item x="68"/>
        <item x="69"/>
        <item x="71"/>
        <item x="72"/>
        <item x="73"/>
        <item x="75"/>
        <item x="76"/>
        <item x="77"/>
        <item x="79"/>
        <item x="80"/>
        <item x="81"/>
        <item x="83"/>
        <item x="84"/>
        <item x="85"/>
        <item x="87"/>
        <item x="88"/>
        <item x="89"/>
        <item x="91"/>
        <item x="92"/>
        <item x="93"/>
        <item x="96"/>
        <item x="97"/>
        <item x="99"/>
        <item x="100"/>
        <item x="101"/>
        <item x="102"/>
        <item x="103"/>
        <item x="105"/>
        <item x="106"/>
        <item x="107"/>
        <item x="109"/>
        <item x="110"/>
        <item x="111"/>
        <item x="113"/>
        <item x="114"/>
        <item x="115"/>
        <item x="117"/>
        <item x="118"/>
        <item x="119"/>
        <item x="121"/>
        <item x="122"/>
        <item x="124"/>
        <item x="125"/>
        <item x="127"/>
        <item x="128"/>
        <item x="129"/>
        <item x="130"/>
        <item x="132"/>
        <item x="133"/>
        <item x="134"/>
        <item x="136"/>
        <item x="137"/>
        <item x="138"/>
        <item x="140"/>
        <item x="141"/>
        <item x="142"/>
        <item x="144"/>
        <item x="145"/>
        <item x="146"/>
        <item x="148"/>
        <item x="149"/>
        <item x="151"/>
        <item x="152"/>
        <item x="154"/>
        <item x="155"/>
        <item x="157"/>
        <item x="158"/>
        <item x="159"/>
        <item x="161"/>
        <item x="162"/>
        <item x="163"/>
        <item x="165"/>
        <item x="166"/>
        <item x="168"/>
        <item x="169"/>
        <item x="171"/>
        <item x="172"/>
        <item x="174"/>
        <item x="175"/>
        <item x="177"/>
        <item x="178"/>
        <item x="180"/>
        <item x="181"/>
        <item x="183"/>
        <item x="185"/>
        <item x="186"/>
        <item x="187"/>
        <item x="188"/>
        <item x="190"/>
        <item x="191"/>
        <item x="192"/>
        <item x="194"/>
        <item x="195"/>
        <item x="196"/>
        <item x="198"/>
        <item x="199"/>
        <item x="200"/>
        <item x="202"/>
        <item x="203"/>
        <item x="204"/>
        <item x="206"/>
        <item x="209"/>
        <item x="210"/>
        <item x="212"/>
        <item x="213"/>
        <item x="215"/>
        <item x="216"/>
        <item x="217"/>
        <item x="219"/>
        <item x="220"/>
        <item x="221"/>
        <item x="223"/>
        <item x="225"/>
        <item x="227"/>
        <item x="229"/>
        <item x="231"/>
        <item x="233"/>
        <item x="234"/>
        <item x="238"/>
        <item x="239"/>
        <item x="242"/>
        <item x="245"/>
        <item x="248"/>
        <item x="250"/>
        <item x="254"/>
        <item x="256"/>
        <item x="258"/>
        <item x="262"/>
        <item x="266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46"/>
        <item x="252"/>
        <item x="260"/>
        <item x="264"/>
        <item x="265"/>
        <item x="26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numFmtId="177" showAll="0">
      <items count="5">
        <item x="1"/>
        <item x="2"/>
        <item x="0"/>
        <item x="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3">
        <item x="1"/>
        <item x="0"/>
        <item t="default"/>
      </items>
    </pivotField>
    <pivotField compact="0" numFmtId="177" showAll="0">
      <items count="3">
        <item x="0"/>
        <item x="1"/>
        <item t="default"/>
      </items>
    </pivotField>
    <pivotField dataField="1" compact="0" numFmtId="177" showAll="0">
      <items count="13">
        <item x="1"/>
        <item x="4"/>
        <item x="5"/>
        <item x="3"/>
        <item x="0"/>
        <item x="10"/>
        <item x="8"/>
        <item x="2"/>
        <item x="9"/>
        <item x="6"/>
        <item x="7"/>
        <item x="11"/>
        <item t="default"/>
      </items>
    </pivotField>
    <pivotField axis="axisRow" compact="0" showAll="0">
      <items count="5">
        <item m="1" x="3"/>
        <item m="1" x="2"/>
        <item x="0"/>
        <item x="1"/>
        <item t="default"/>
      </items>
    </pivotField>
    <pivotField compact="0" numFmtId="177" showAll="0">
      <items count="23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14"/>
  </rowFields>
  <rowItems count="3">
    <i>
      <x v="2"/>
    </i>
    <i>
      <x v="3"/>
    </i>
    <i t="grand">
      <x/>
    </i>
  </rowItems>
  <colItems count="1">
    <i/>
  </colItems>
  <dataFields count="1">
    <dataField name="Contagem de Coupon Valu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_x000a_Dinâmica3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B49:C53" firstHeaderRow="1" firstDataRow="1" firstDataCol="1"/>
  <pivotFields count="16">
    <pivotField name="ID do Contrato" compact="0" showAll="0">
      <items count="3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7"/>
        <item x="300"/>
        <item x="301"/>
        <item x="295"/>
        <item x="296"/>
        <item x="298"/>
        <item x="299"/>
        <item t="default"/>
      </items>
    </pivotField>
    <pivotField compact="0"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numFmtId="58" showAll="0">
      <items count="314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1"/>
        <item x="272"/>
        <item x="273"/>
        <item x="274"/>
        <item x="275"/>
        <item x="276"/>
        <item x="278"/>
        <item x="279"/>
        <item x="280"/>
        <item x="281"/>
        <item x="282"/>
        <item x="283"/>
        <item x="284"/>
        <item x="286"/>
        <item x="287"/>
        <item x="288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277"/>
        <item x="270"/>
        <item x="285"/>
        <item x="289"/>
        <item x="290"/>
        <item x="293"/>
        <item t="default"/>
      </items>
    </pivotField>
    <pivotField compact="0" numFmtId="181" showAll="0">
      <items count="290">
        <item x="1"/>
        <item x="207"/>
        <item x="224"/>
        <item x="7"/>
        <item x="228"/>
        <item x="10"/>
        <item x="232"/>
        <item x="14"/>
        <item x="235"/>
        <item x="237"/>
        <item x="18"/>
        <item x="241"/>
        <item x="22"/>
        <item x="26"/>
        <item x="30"/>
        <item x="249"/>
        <item x="36"/>
        <item x="253"/>
        <item x="40"/>
        <item x="257"/>
        <item x="44"/>
        <item x="261"/>
        <item x="48"/>
        <item x="52"/>
        <item x="56"/>
        <item x="60"/>
        <item x="66"/>
        <item x="70"/>
        <item x="74"/>
        <item x="78"/>
        <item x="82"/>
        <item x="86"/>
        <item x="90"/>
        <item x="94"/>
        <item x="95"/>
        <item x="98"/>
        <item x="104"/>
        <item x="108"/>
        <item x="112"/>
        <item x="116"/>
        <item x="120"/>
        <item x="123"/>
        <item x="126"/>
        <item x="131"/>
        <item x="135"/>
        <item x="139"/>
        <item x="143"/>
        <item x="147"/>
        <item x="150"/>
        <item x="153"/>
        <item x="156"/>
        <item x="160"/>
        <item x="164"/>
        <item x="167"/>
        <item x="170"/>
        <item x="173"/>
        <item x="176"/>
        <item x="179"/>
        <item x="182"/>
        <item x="184"/>
        <item x="189"/>
        <item x="193"/>
        <item x="197"/>
        <item x="201"/>
        <item x="205"/>
        <item x="208"/>
        <item x="211"/>
        <item x="214"/>
        <item x="218"/>
        <item x="222"/>
        <item x="226"/>
        <item x="230"/>
        <item x="236"/>
        <item x="240"/>
        <item x="243"/>
        <item x="244"/>
        <item x="247"/>
        <item x="251"/>
        <item x="255"/>
        <item x="259"/>
        <item x="263"/>
        <item x="267"/>
        <item x="0"/>
        <item x="2"/>
        <item x="3"/>
        <item x="4"/>
        <item x="5"/>
        <item x="6"/>
        <item x="8"/>
        <item x="9"/>
        <item x="11"/>
        <item x="12"/>
        <item x="13"/>
        <item x="15"/>
        <item x="16"/>
        <item x="17"/>
        <item x="19"/>
        <item x="20"/>
        <item x="21"/>
        <item x="23"/>
        <item x="24"/>
        <item x="25"/>
        <item x="27"/>
        <item x="28"/>
        <item x="29"/>
        <item x="31"/>
        <item x="32"/>
        <item x="33"/>
        <item x="34"/>
        <item x="35"/>
        <item x="37"/>
        <item x="38"/>
        <item x="39"/>
        <item x="41"/>
        <item x="42"/>
        <item x="43"/>
        <item x="45"/>
        <item x="46"/>
        <item x="47"/>
        <item x="49"/>
        <item x="50"/>
        <item x="51"/>
        <item x="53"/>
        <item x="54"/>
        <item x="55"/>
        <item x="57"/>
        <item x="58"/>
        <item x="59"/>
        <item x="61"/>
        <item x="62"/>
        <item x="63"/>
        <item x="64"/>
        <item x="65"/>
        <item x="67"/>
        <item x="68"/>
        <item x="69"/>
        <item x="71"/>
        <item x="72"/>
        <item x="73"/>
        <item x="75"/>
        <item x="76"/>
        <item x="77"/>
        <item x="79"/>
        <item x="80"/>
        <item x="81"/>
        <item x="83"/>
        <item x="84"/>
        <item x="85"/>
        <item x="87"/>
        <item x="88"/>
        <item x="89"/>
        <item x="91"/>
        <item x="92"/>
        <item x="93"/>
        <item x="96"/>
        <item x="97"/>
        <item x="99"/>
        <item x="100"/>
        <item x="101"/>
        <item x="102"/>
        <item x="103"/>
        <item x="105"/>
        <item x="106"/>
        <item x="107"/>
        <item x="109"/>
        <item x="110"/>
        <item x="111"/>
        <item x="113"/>
        <item x="114"/>
        <item x="115"/>
        <item x="117"/>
        <item x="118"/>
        <item x="119"/>
        <item x="121"/>
        <item x="122"/>
        <item x="124"/>
        <item x="125"/>
        <item x="127"/>
        <item x="128"/>
        <item x="129"/>
        <item x="130"/>
        <item x="132"/>
        <item x="133"/>
        <item x="134"/>
        <item x="136"/>
        <item x="137"/>
        <item x="138"/>
        <item x="140"/>
        <item x="141"/>
        <item x="142"/>
        <item x="144"/>
        <item x="145"/>
        <item x="146"/>
        <item x="148"/>
        <item x="149"/>
        <item x="151"/>
        <item x="152"/>
        <item x="154"/>
        <item x="155"/>
        <item x="157"/>
        <item x="158"/>
        <item x="159"/>
        <item x="161"/>
        <item x="162"/>
        <item x="163"/>
        <item x="165"/>
        <item x="166"/>
        <item x="168"/>
        <item x="169"/>
        <item x="171"/>
        <item x="172"/>
        <item x="174"/>
        <item x="175"/>
        <item x="177"/>
        <item x="178"/>
        <item x="180"/>
        <item x="181"/>
        <item x="183"/>
        <item x="185"/>
        <item x="186"/>
        <item x="187"/>
        <item x="188"/>
        <item x="190"/>
        <item x="191"/>
        <item x="192"/>
        <item x="194"/>
        <item x="195"/>
        <item x="196"/>
        <item x="198"/>
        <item x="199"/>
        <item x="200"/>
        <item x="202"/>
        <item x="203"/>
        <item x="204"/>
        <item x="206"/>
        <item x="209"/>
        <item x="210"/>
        <item x="212"/>
        <item x="213"/>
        <item x="215"/>
        <item x="216"/>
        <item x="217"/>
        <item x="219"/>
        <item x="220"/>
        <item x="221"/>
        <item x="223"/>
        <item x="225"/>
        <item x="227"/>
        <item x="229"/>
        <item x="231"/>
        <item x="233"/>
        <item x="234"/>
        <item x="238"/>
        <item x="239"/>
        <item x="242"/>
        <item x="245"/>
        <item x="248"/>
        <item x="250"/>
        <item x="254"/>
        <item x="256"/>
        <item x="258"/>
        <item x="262"/>
        <item x="266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46"/>
        <item x="252"/>
        <item x="260"/>
        <item x="264"/>
        <item x="265"/>
        <item x="268"/>
        <item t="default"/>
      </items>
    </pivotField>
    <pivotField name="Status do Contrato" defaultSubtotal="0" showAll="0">
      <items count="2">
        <item x="1"/>
        <item x="0"/>
      </items>
    </pivotField>
    <pivotField compact="0" showAll="0">
      <items count="3">
        <item x="1"/>
        <item x="0"/>
        <item t="default"/>
      </items>
    </pivotField>
    <pivotField compact="0" numFmtId="177" showAll="0">
      <items count="5">
        <item x="1"/>
        <item x="2"/>
        <item x="0"/>
        <item x="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3">
        <item x="1"/>
        <item x="0"/>
        <item t="default"/>
      </items>
    </pivotField>
    <pivotField compact="0" numFmtId="177" showAll="0">
      <items count="3">
        <item x="0"/>
        <item x="1"/>
        <item t="default"/>
      </items>
    </pivotField>
    <pivotField compact="0" numFmtId="177" showAll="0">
      <items count="13">
        <item x="1"/>
        <item x="4"/>
        <item x="5"/>
        <item x="3"/>
        <item x="0"/>
        <item x="10"/>
        <item x="8"/>
        <item x="2"/>
        <item x="9"/>
        <item x="6"/>
        <item x="7"/>
        <item x="11"/>
        <item t="default"/>
      </items>
    </pivotField>
    <pivotField compact="0" showAll="0">
      <items count="5">
        <item m="1" x="3"/>
        <item m="1" x="2"/>
        <item x="0"/>
        <item x="1"/>
        <item t="default"/>
      </items>
    </pivotField>
    <pivotField dataField="1" compact="0" numFmtId="177" showAll="0">
      <items count="23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5" baseField="0" baseItem="0" numFmtId="177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_x000a_Dinâmica6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B20:C23" firstHeaderRow="1" firstDataRow="1" firstDataCol="1"/>
  <pivotFields count="16">
    <pivotField dataField="1" compact="0" showAll="0">
      <items count="3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7"/>
        <item x="300"/>
        <item x="301"/>
        <item x="295"/>
        <item x="296"/>
        <item x="298"/>
        <item x="299"/>
        <item t="default"/>
      </items>
    </pivotField>
    <pivotField compact="0" showAll="0">
      <items count="282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x="280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numFmtId="58" showAll="0">
      <items count="314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1"/>
        <item x="272"/>
        <item x="273"/>
        <item x="274"/>
        <item x="275"/>
        <item x="276"/>
        <item x="278"/>
        <item x="279"/>
        <item x="280"/>
        <item x="281"/>
        <item x="282"/>
        <item x="283"/>
        <item x="284"/>
        <item x="286"/>
        <item x="287"/>
        <item x="288"/>
        <item x="291"/>
        <item x="292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277"/>
        <item x="270"/>
        <item x="285"/>
        <item x="289"/>
        <item x="290"/>
        <item x="293"/>
        <item t="default"/>
      </items>
    </pivotField>
    <pivotField compact="0" numFmtId="181" showAll="0">
      <items count="290">
        <item x="1"/>
        <item x="207"/>
        <item x="224"/>
        <item x="7"/>
        <item x="228"/>
        <item x="10"/>
        <item x="232"/>
        <item x="14"/>
        <item x="235"/>
        <item x="237"/>
        <item x="18"/>
        <item x="241"/>
        <item x="22"/>
        <item x="26"/>
        <item x="30"/>
        <item x="249"/>
        <item x="36"/>
        <item x="253"/>
        <item x="40"/>
        <item x="257"/>
        <item x="44"/>
        <item x="261"/>
        <item x="48"/>
        <item x="52"/>
        <item x="56"/>
        <item x="60"/>
        <item x="66"/>
        <item x="70"/>
        <item x="74"/>
        <item x="78"/>
        <item x="82"/>
        <item x="86"/>
        <item x="90"/>
        <item x="94"/>
        <item x="95"/>
        <item x="98"/>
        <item x="104"/>
        <item x="108"/>
        <item x="112"/>
        <item x="116"/>
        <item x="120"/>
        <item x="123"/>
        <item x="126"/>
        <item x="131"/>
        <item x="135"/>
        <item x="139"/>
        <item x="143"/>
        <item x="147"/>
        <item x="150"/>
        <item x="153"/>
        <item x="156"/>
        <item x="160"/>
        <item x="164"/>
        <item x="167"/>
        <item x="170"/>
        <item x="173"/>
        <item x="176"/>
        <item x="179"/>
        <item x="182"/>
        <item x="184"/>
        <item x="189"/>
        <item x="193"/>
        <item x="197"/>
        <item x="201"/>
        <item x="205"/>
        <item x="208"/>
        <item x="211"/>
        <item x="214"/>
        <item x="218"/>
        <item x="222"/>
        <item x="226"/>
        <item x="230"/>
        <item x="236"/>
        <item x="240"/>
        <item x="243"/>
        <item x="244"/>
        <item x="247"/>
        <item x="251"/>
        <item x="255"/>
        <item x="259"/>
        <item x="263"/>
        <item x="267"/>
        <item x="0"/>
        <item x="2"/>
        <item x="3"/>
        <item x="4"/>
        <item x="5"/>
        <item x="6"/>
        <item x="8"/>
        <item x="9"/>
        <item x="11"/>
        <item x="12"/>
        <item x="13"/>
        <item x="15"/>
        <item x="16"/>
        <item x="17"/>
        <item x="19"/>
        <item x="20"/>
        <item x="21"/>
        <item x="23"/>
        <item x="24"/>
        <item x="25"/>
        <item x="27"/>
        <item x="28"/>
        <item x="29"/>
        <item x="31"/>
        <item x="32"/>
        <item x="33"/>
        <item x="34"/>
        <item x="35"/>
        <item x="37"/>
        <item x="38"/>
        <item x="39"/>
        <item x="41"/>
        <item x="42"/>
        <item x="43"/>
        <item x="45"/>
        <item x="46"/>
        <item x="47"/>
        <item x="49"/>
        <item x="50"/>
        <item x="51"/>
        <item x="53"/>
        <item x="54"/>
        <item x="55"/>
        <item x="57"/>
        <item x="58"/>
        <item x="59"/>
        <item x="61"/>
        <item x="62"/>
        <item x="63"/>
        <item x="64"/>
        <item x="65"/>
        <item x="67"/>
        <item x="68"/>
        <item x="69"/>
        <item x="71"/>
        <item x="72"/>
        <item x="73"/>
        <item x="75"/>
        <item x="76"/>
        <item x="77"/>
        <item x="79"/>
        <item x="80"/>
        <item x="81"/>
        <item x="83"/>
        <item x="84"/>
        <item x="85"/>
        <item x="87"/>
        <item x="88"/>
        <item x="89"/>
        <item x="91"/>
        <item x="92"/>
        <item x="93"/>
        <item x="96"/>
        <item x="97"/>
        <item x="99"/>
        <item x="100"/>
        <item x="101"/>
        <item x="102"/>
        <item x="103"/>
        <item x="105"/>
        <item x="106"/>
        <item x="107"/>
        <item x="109"/>
        <item x="110"/>
        <item x="111"/>
        <item x="113"/>
        <item x="114"/>
        <item x="115"/>
        <item x="117"/>
        <item x="118"/>
        <item x="119"/>
        <item x="121"/>
        <item x="122"/>
        <item x="124"/>
        <item x="125"/>
        <item x="127"/>
        <item x="128"/>
        <item x="129"/>
        <item x="130"/>
        <item x="132"/>
        <item x="133"/>
        <item x="134"/>
        <item x="136"/>
        <item x="137"/>
        <item x="138"/>
        <item x="140"/>
        <item x="141"/>
        <item x="142"/>
        <item x="144"/>
        <item x="145"/>
        <item x="146"/>
        <item x="148"/>
        <item x="149"/>
        <item x="151"/>
        <item x="152"/>
        <item x="154"/>
        <item x="155"/>
        <item x="157"/>
        <item x="158"/>
        <item x="159"/>
        <item x="161"/>
        <item x="162"/>
        <item x="163"/>
        <item x="165"/>
        <item x="166"/>
        <item x="168"/>
        <item x="169"/>
        <item x="171"/>
        <item x="172"/>
        <item x="174"/>
        <item x="175"/>
        <item x="177"/>
        <item x="178"/>
        <item x="180"/>
        <item x="181"/>
        <item x="183"/>
        <item x="185"/>
        <item x="186"/>
        <item x="187"/>
        <item x="188"/>
        <item x="190"/>
        <item x="191"/>
        <item x="192"/>
        <item x="194"/>
        <item x="195"/>
        <item x="196"/>
        <item x="198"/>
        <item x="199"/>
        <item x="200"/>
        <item x="202"/>
        <item x="203"/>
        <item x="204"/>
        <item x="206"/>
        <item x="209"/>
        <item x="210"/>
        <item x="212"/>
        <item x="213"/>
        <item x="215"/>
        <item x="216"/>
        <item x="217"/>
        <item x="219"/>
        <item x="220"/>
        <item x="221"/>
        <item x="223"/>
        <item x="225"/>
        <item x="227"/>
        <item x="229"/>
        <item x="231"/>
        <item x="233"/>
        <item x="234"/>
        <item x="238"/>
        <item x="239"/>
        <item x="242"/>
        <item x="245"/>
        <item x="248"/>
        <item x="250"/>
        <item x="254"/>
        <item x="256"/>
        <item x="258"/>
        <item x="262"/>
        <item x="266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46"/>
        <item x="252"/>
        <item x="260"/>
        <item x="264"/>
        <item x="265"/>
        <item x="268"/>
        <item t="default"/>
      </items>
    </pivotField>
    <pivotField compact="0" showAll="0">
      <items count="3">
        <item x="1"/>
        <item x="0"/>
        <item t="default"/>
      </items>
    </pivotField>
    <pivotField axis="axisRow" compact="0" showAll="0">
      <items count="3">
        <item x="1"/>
        <item x="0"/>
        <item t="default"/>
      </items>
    </pivotField>
    <pivotField compact="0" numFmtId="177" showAll="0">
      <items count="5">
        <item x="1"/>
        <item x="2"/>
        <item x="0"/>
        <item x="3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numFmtId="177" showAll="0">
      <items count="3">
        <item x="0"/>
        <item x="1"/>
        <item t="default"/>
      </items>
    </pivotField>
    <pivotField compact="0" numFmtId="177" showAll="0">
      <items count="13">
        <item x="1"/>
        <item x="4"/>
        <item x="5"/>
        <item x="3"/>
        <item x="0"/>
        <item x="10"/>
        <item x="8"/>
        <item x="2"/>
        <item x="9"/>
        <item x="6"/>
        <item x="7"/>
        <item x="11"/>
        <item t="default"/>
      </items>
    </pivotField>
    <pivotField compact="0" showAll="0">
      <items count="5">
        <item m="1" x="3"/>
        <item m="1" x="2"/>
        <item x="0"/>
        <item x="1"/>
        <item t="default"/>
      </items>
    </pivotField>
    <pivotField compact="0" numFmtId="177" showAll="0">
      <items count="23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ubscription_Type1" sourceName="Subscription Type">
  <pivotTables>
    <pivotTable tabId="3" name="Tabela _x000a_Dinâmica1"/>
    <pivotTable tabId="3" name="Tabela _x000a_Dinâmica2"/>
    <pivotTable tabId="3" name="Tabela _x000a_Dinâmica4"/>
    <pivotTable tabId="3" name="Tabela _x000a_Dinâmica5"/>
    <pivotTable tabId="3" name="Tabela _x000a_Dinâmica3"/>
    <pivotTable tabId="3" name="Tabela _x000a_Dinâmica6"/>
  </pivotTables>
  <data>
    <tabular pivotCacheId="1">
      <items count="3">
        <i x="1" s="1"/>
        <i x="0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us_do_Contrato" sourceName="Status_do_Contrato">
  <pivotTables>
    <pivotTable tabId="3" name="Tabela _x000a_Dinâmica2"/>
    <pivotTable tabId="3" name="Tabela _x000a_Dinâmica4"/>
    <pivotTable tabId="3" name="Tabela _x000a_Dinâmica5"/>
    <pivotTable tabId="3" name="Tabela _x000a_Dinâmica3"/>
    <pivotTable tabId="3" name="Tabela _x000a_Dinâmica6"/>
  </pivotTables>
  <data>
    <tabular pivotCacheId="1">
      <items count="2"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 1" cache="Slicer_Subscription_Type1" caption="Tipo de Assinatura" rowHeight="225425"/>
  <slicer name="Status_do_Contrato" cache="Slicer_Status_do_Contrato" caption="Status_do_Contrato" rowHeight="225425"/>
</slicers>
</file>

<file path=xl/tables/table1.xml><?xml version="1.0" encoding="utf-8"?>
<table xmlns="http://schemas.openxmlformats.org/spreadsheetml/2006/main" id="1" name="Tabela1" displayName="Tabela1" ref="A1:P316" totalsRowShown="0">
  <autoFilter xmlns:etc="http://www.wps.cn/officeDocument/2017/etCustomData" ref="A1:P316" etc:filterBottomFollowUsedRange="0"/>
  <tableColumns count="16">
    <tableColumn id="1" name="Subscriber ID" dataDxfId="0"/>
    <tableColumn id="2" name="Name" dataDxfId="1"/>
    <tableColumn id="3" name="Plan" dataDxfId="2"/>
    <tableColumn id="4" name="Start Date" dataDxfId="3"/>
    <tableColumn id="14" name="Fim_Assinatura" dataDxfId="4">
      <calculatedColumnFormula>IF(I2="Monthly",(D2+30),IF(I2="Annual",(D2+360),D2+120))</calculatedColumnFormula>
    </tableColumn>
    <tableColumn id="18" name="Status_do_Contrato" dataDxfId="5">
      <calculatedColumnFormula>IF(TODAY()&lt;E2,"A vencer","Vencido")</calculatedColumnFormula>
    </tableColumn>
    <tableColumn id="5" name="Auto Renewal" dataDxfId="6"/>
    <tableColumn id="6" name="Subscription Price" dataDxfId="7"/>
    <tableColumn id="7" name="Subscription Type" dataDxfId="8"/>
    <tableColumn id="8" name="EA Play Season Pass" dataDxfId="9"/>
    <tableColumn id="13" name="EA Play Season Pass&#10;Price" dataDxfId="10"/>
    <tableColumn id="9" name="Minecraft Season Pass" dataDxfId="11"/>
    <tableColumn id="10" name="Minecraft Season Pass Price" dataDxfId="12"/>
    <tableColumn id="11" name="Coupon Value" dataDxfId="13"/>
    <tableColumn id="15" name="Tem_Cupom"/>
    <tableColumn id="12" name="Total Value" dataDxfId="14">
      <calculatedColumnFormula>(H2+K2+M2)-N2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3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B3:P21"/>
  <sheetViews>
    <sheetView showGridLines="0" workbookViewId="0">
      <selection activeCell="B6" sqref="B6"/>
    </sheetView>
  </sheetViews>
  <sheetFormatPr defaultColWidth="9" defaultRowHeight="14.25"/>
  <cols>
    <col min="1" max="8" width="9" style="10"/>
    <col min="9" max="9" width="3.56666666666667" style="10" customWidth="1"/>
    <col min="10" max="16384" width="9" style="10"/>
  </cols>
  <sheetData>
    <row r="3" ht="21" spans="2:16">
      <c r="B3" s="34" t="s">
        <v>0</v>
      </c>
      <c r="C3" s="34"/>
      <c r="D3" s="34"/>
      <c r="E3" s="34"/>
      <c r="F3" s="34"/>
      <c r="G3" s="34"/>
      <c r="H3" s="34"/>
    </row>
    <row r="4" ht="15"/>
    <row r="5" spans="2:16">
      <c r="B5" s="35" t="s">
        <v>1</v>
      </c>
      <c r="C5" s="10" t="s">
        <v>2</v>
      </c>
      <c r="E5" s="36" t="s">
        <v>3</v>
      </c>
      <c r="F5" s="10" t="s">
        <v>4</v>
      </c>
    </row>
    <row r="6" spans="2:16">
      <c r="B6" s="37" t="s">
        <v>5</v>
      </c>
      <c r="C6" s="10" t="s">
        <v>2</v>
      </c>
    </row>
    <row r="7" spans="2:16">
      <c r="B7" s="38" t="s">
        <v>6</v>
      </c>
      <c r="C7" s="10" t="s">
        <v>7</v>
      </c>
    </row>
    <row r="8" spans="2:16">
      <c r="B8" s="39" t="s">
        <v>8</v>
      </c>
      <c r="C8" s="10" t="s">
        <v>7</v>
      </c>
    </row>
    <row r="12" ht="21" spans="2:16">
      <c r="B12" s="34" t="s">
        <v>9</v>
      </c>
      <c r="C12" s="34"/>
      <c r="D12" s="34"/>
      <c r="E12" s="34"/>
      <c r="F12" s="34"/>
      <c r="G12" s="34"/>
      <c r="H12" s="34"/>
      <c r="J12" s="34" t="s">
        <v>10</v>
      </c>
      <c r="K12" s="34"/>
      <c r="L12" s="34"/>
      <c r="M12" s="34"/>
      <c r="N12" s="34"/>
      <c r="O12" s="34"/>
      <c r="P12" s="34"/>
    </row>
    <row r="13" ht="15" spans="2:16">
      <c r="B13" s="40"/>
      <c r="C13" s="40"/>
      <c r="D13" s="40"/>
      <c r="E13" s="40"/>
      <c r="F13" s="40"/>
      <c r="G13" s="40"/>
      <c r="H13" s="40"/>
    </row>
    <row r="14" spans="2:16">
      <c r="B14" s="40"/>
      <c r="C14" s="40"/>
      <c r="D14" s="40"/>
      <c r="E14" s="40"/>
      <c r="F14" s="40"/>
      <c r="G14" s="40"/>
      <c r="H14" s="40"/>
    </row>
    <row r="15" spans="2:16">
      <c r="B15" s="40"/>
      <c r="C15" s="40"/>
      <c r="D15" s="40"/>
      <c r="E15" s="40"/>
      <c r="F15" s="40"/>
      <c r="G15" s="40"/>
      <c r="H15" s="40"/>
    </row>
    <row r="16" spans="2:16">
      <c r="B16" s="40"/>
      <c r="C16" s="40"/>
      <c r="D16" s="40"/>
      <c r="E16" s="40"/>
      <c r="F16" s="40"/>
      <c r="G16" s="40"/>
      <c r="H16" s="40"/>
    </row>
    <row r="17" spans="2:8">
      <c r="B17" s="40"/>
      <c r="C17" s="40"/>
      <c r="D17" s="40"/>
      <c r="E17" s="40"/>
      <c r="F17" s="40"/>
      <c r="G17" s="40"/>
      <c r="H17" s="40"/>
    </row>
    <row r="18" spans="2:8">
      <c r="B18" s="40"/>
      <c r="C18" s="40"/>
      <c r="D18" s="40"/>
      <c r="E18" s="40"/>
      <c r="F18" s="40"/>
      <c r="G18" s="40"/>
      <c r="H18" s="40"/>
    </row>
    <row r="19" spans="2:8">
      <c r="B19" s="40"/>
      <c r="C19" s="40"/>
      <c r="D19" s="40"/>
      <c r="E19" s="40"/>
      <c r="F19" s="40"/>
      <c r="G19" s="40"/>
      <c r="H19" s="40"/>
    </row>
    <row r="20" spans="2:8">
      <c r="B20" s="40"/>
      <c r="C20" s="40"/>
      <c r="D20" s="40"/>
      <c r="E20" s="40"/>
      <c r="F20" s="40"/>
      <c r="G20" s="40"/>
      <c r="H20" s="40"/>
    </row>
    <row r="21" spans="2:8">
      <c r="B21" s="40"/>
      <c r="C21" s="40"/>
      <c r="D21" s="40"/>
      <c r="E21" s="40"/>
      <c r="F21" s="40"/>
      <c r="G21" s="40"/>
      <c r="H21" s="40"/>
    </row>
  </sheetData>
  <pageMargins left="0.511811024" right="0.511811024" top="0.787401575" bottom="0.787401575" header="0.31496062" footer="0.3149606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A1:P316"/>
  <sheetViews>
    <sheetView zoomScale="90" zoomScaleNormal="90" workbookViewId="0">
      <pane ySplit="1" topLeftCell="A282" activePane="bottomLeft" state="frozen"/>
      <selection/>
      <selection pane="bottomLeft" activeCell="D293" sqref="D293"/>
    </sheetView>
  </sheetViews>
  <sheetFormatPr defaultColWidth="9" defaultRowHeight="14.25"/>
  <cols>
    <col min="1" max="1" width="17.8583333333333" style="10" customWidth="1"/>
    <col min="2" max="2" width="18.8583333333333" style="10" customWidth="1"/>
    <col min="3" max="3" width="9.425" style="10" customWidth="1"/>
    <col min="4" max="4" width="14.5666666666667" style="10" customWidth="1"/>
    <col min="5" max="5" width="18.6083333333333" style="17" customWidth="1"/>
    <col min="6" max="6" width="23.3333333333333" style="18" customWidth="1"/>
    <col min="7" max="7" width="15.4166666666667" style="10" customWidth="1"/>
    <col min="8" max="8" width="14.7083333333333" style="10" customWidth="1"/>
    <col min="9" max="9" width="21.2416666666667" style="10" customWidth="1"/>
    <col min="10" max="10" width="20.5666666666667" style="19" customWidth="1"/>
    <col min="11" max="11" width="20.5666666666667" style="10" customWidth="1"/>
    <col min="12" max="12" width="16.7083333333333" style="19" customWidth="1"/>
    <col min="13" max="13" width="21.2833333333333" style="20" customWidth="1"/>
    <col min="14" max="14" width="14.1583333333333" style="20" customWidth="1"/>
    <col min="15" max="15" width="12.7083333333333" style="10" customWidth="1"/>
    <col min="16" max="16" width="12.6333333333333" style="10" customWidth="1"/>
    <col min="17" max="16384" width="9" style="10"/>
  </cols>
  <sheetData>
    <row r="1" s="10" customFormat="1" ht="42.75" spans="1:16">
      <c r="A1" s="21" t="s">
        <v>11</v>
      </c>
      <c r="B1" s="21" t="s">
        <v>12</v>
      </c>
      <c r="C1" s="21" t="s">
        <v>13</v>
      </c>
      <c r="D1" s="21" t="s">
        <v>14</v>
      </c>
      <c r="E1" s="22" t="s">
        <v>15</v>
      </c>
      <c r="F1" s="23" t="s">
        <v>16</v>
      </c>
      <c r="G1" s="21" t="s">
        <v>17</v>
      </c>
      <c r="H1" s="21" t="s">
        <v>18</v>
      </c>
      <c r="I1" s="21" t="s">
        <v>19</v>
      </c>
      <c r="J1" s="24" t="s">
        <v>20</v>
      </c>
      <c r="K1" s="21" t="s">
        <v>21</v>
      </c>
      <c r="L1" s="24" t="s">
        <v>22</v>
      </c>
      <c r="M1" s="21" t="s">
        <v>23</v>
      </c>
      <c r="N1" s="21" t="s">
        <v>24</v>
      </c>
      <c r="O1" s="25" t="s">
        <v>25</v>
      </c>
      <c r="P1" s="21" t="s">
        <v>26</v>
      </c>
    </row>
    <row r="2" ht="16.5" customHeight="1" spans="1:16">
      <c r="A2" s="26">
        <v>3231</v>
      </c>
      <c r="B2" s="26" t="s">
        <v>27</v>
      </c>
      <c r="C2" s="26" t="s">
        <v>28</v>
      </c>
      <c r="D2" s="27">
        <v>45658</v>
      </c>
      <c r="E2" s="28">
        <f t="shared" ref="E2:E65" si="0">IF(I2="Monthly",(D2+30),IF(I2="Annual",(D2+360),D2+120))</f>
        <v>45688</v>
      </c>
      <c r="F2" s="27" t="str">
        <f ca="1" t="shared" ref="F2:F65" si="1">IF(TODAY()&lt;E2,"A vencer","Vencido")</f>
        <v>Vencido</v>
      </c>
      <c r="G2" s="26" t="s">
        <v>29</v>
      </c>
      <c r="H2" s="29">
        <v>15</v>
      </c>
      <c r="I2" s="26" t="s">
        <v>30</v>
      </c>
      <c r="J2" s="30" t="s">
        <v>29</v>
      </c>
      <c r="K2" s="29">
        <v>30</v>
      </c>
      <c r="L2" s="30" t="s">
        <v>29</v>
      </c>
      <c r="M2" s="31">
        <v>20</v>
      </c>
      <c r="N2" s="31">
        <v>5</v>
      </c>
      <c r="O2" s="29" t="s">
        <v>29</v>
      </c>
      <c r="P2" s="29">
        <f>(H2+K2+M2)-N2</f>
        <v>60</v>
      </c>
    </row>
    <row r="3" s="10" customFormat="1" ht="16.5" customHeight="1" spans="1:16">
      <c r="A3" s="26">
        <v>3232</v>
      </c>
      <c r="B3" s="26" t="s">
        <v>31</v>
      </c>
      <c r="C3" s="26" t="s">
        <v>32</v>
      </c>
      <c r="D3" s="27">
        <v>45672</v>
      </c>
      <c r="E3" s="28">
        <f t="shared" si="0"/>
        <v>46032</v>
      </c>
      <c r="F3" s="27" t="str">
        <f ca="1" t="shared" si="1"/>
        <v>Vencido</v>
      </c>
      <c r="G3" s="26" t="s">
        <v>33</v>
      </c>
      <c r="H3" s="29">
        <v>5</v>
      </c>
      <c r="I3" s="26" t="s">
        <v>34</v>
      </c>
      <c r="J3" s="30" t="s">
        <v>33</v>
      </c>
      <c r="K3" s="29"/>
      <c r="L3" s="30" t="s">
        <v>33</v>
      </c>
      <c r="M3" s="31"/>
      <c r="N3" s="31">
        <v>0</v>
      </c>
      <c r="O3" s="29" t="s">
        <v>33</v>
      </c>
      <c r="P3" s="29">
        <f t="shared" ref="P3:P66" si="2">(H3+K3+M3)-N3</f>
        <v>5</v>
      </c>
    </row>
    <row r="4" s="10" customFormat="1" ht="16.5" customHeight="1" spans="1:16">
      <c r="A4" s="26">
        <v>3233</v>
      </c>
      <c r="B4" s="26" t="s">
        <v>35</v>
      </c>
      <c r="C4" s="26" t="s">
        <v>36</v>
      </c>
      <c r="D4" s="27">
        <v>45698</v>
      </c>
      <c r="E4" s="28">
        <f t="shared" si="0"/>
        <v>45818</v>
      </c>
      <c r="F4" s="27" t="str">
        <f ca="1" t="shared" si="1"/>
        <v>Vencido</v>
      </c>
      <c r="G4" s="26" t="s">
        <v>29</v>
      </c>
      <c r="H4" s="29">
        <v>10</v>
      </c>
      <c r="I4" s="26" t="s">
        <v>37</v>
      </c>
      <c r="J4" s="30" t="s">
        <v>33</v>
      </c>
      <c r="K4" s="29"/>
      <c r="L4" s="30" t="s">
        <v>29</v>
      </c>
      <c r="M4" s="31">
        <v>20</v>
      </c>
      <c r="N4" s="31">
        <v>10</v>
      </c>
      <c r="O4" s="29" t="s">
        <v>29</v>
      </c>
      <c r="P4" s="29">
        <f t="shared" si="2"/>
        <v>20</v>
      </c>
    </row>
    <row r="5" ht="16.5" customHeight="1" spans="1:16">
      <c r="A5" s="26">
        <v>3234</v>
      </c>
      <c r="B5" s="26" t="s">
        <v>38</v>
      </c>
      <c r="C5" s="26" t="s">
        <v>28</v>
      </c>
      <c r="D5" s="27">
        <v>45708</v>
      </c>
      <c r="E5" s="28">
        <f t="shared" si="0"/>
        <v>45738</v>
      </c>
      <c r="F5" s="27" t="str">
        <f ca="1" t="shared" si="1"/>
        <v>Vencido</v>
      </c>
      <c r="G5" s="26" t="s">
        <v>33</v>
      </c>
      <c r="H5" s="29">
        <v>15</v>
      </c>
      <c r="I5" s="26" t="s">
        <v>30</v>
      </c>
      <c r="J5" s="30" t="s">
        <v>29</v>
      </c>
      <c r="K5" s="29">
        <v>30</v>
      </c>
      <c r="L5" s="30" t="s">
        <v>29</v>
      </c>
      <c r="M5" s="31">
        <v>20</v>
      </c>
      <c r="N5" s="31">
        <v>3</v>
      </c>
      <c r="O5" s="29" t="s">
        <v>29</v>
      </c>
      <c r="P5" s="29">
        <f t="shared" si="2"/>
        <v>62</v>
      </c>
    </row>
    <row r="6" s="10" customFormat="1" ht="16.5" customHeight="1" spans="1:16">
      <c r="A6" s="26">
        <v>3235</v>
      </c>
      <c r="B6" s="26" t="s">
        <v>39</v>
      </c>
      <c r="C6" s="26" t="s">
        <v>32</v>
      </c>
      <c r="D6" s="27">
        <v>45721</v>
      </c>
      <c r="E6" s="28">
        <f t="shared" si="0"/>
        <v>45751</v>
      </c>
      <c r="F6" s="27" t="str">
        <f ca="1" t="shared" si="1"/>
        <v>Vencido</v>
      </c>
      <c r="G6" s="26" t="s">
        <v>29</v>
      </c>
      <c r="H6" s="29">
        <v>5</v>
      </c>
      <c r="I6" s="26" t="s">
        <v>30</v>
      </c>
      <c r="J6" s="30" t="s">
        <v>33</v>
      </c>
      <c r="K6" s="29"/>
      <c r="L6" s="30" t="s">
        <v>33</v>
      </c>
      <c r="M6" s="31"/>
      <c r="N6" s="31">
        <v>1</v>
      </c>
      <c r="O6" s="29" t="s">
        <v>29</v>
      </c>
      <c r="P6" s="29">
        <f t="shared" si="2"/>
        <v>4</v>
      </c>
    </row>
    <row r="7" s="10" customFormat="1" ht="16.5" customHeight="1" spans="1:16">
      <c r="A7" s="26">
        <v>3236</v>
      </c>
      <c r="B7" s="26" t="s">
        <v>40</v>
      </c>
      <c r="C7" s="26" t="s">
        <v>36</v>
      </c>
      <c r="D7" s="27">
        <v>45718</v>
      </c>
      <c r="E7" s="28">
        <f t="shared" si="0"/>
        <v>45748</v>
      </c>
      <c r="F7" s="27" t="str">
        <f ca="1" t="shared" si="1"/>
        <v>Vencido</v>
      </c>
      <c r="G7" s="26" t="s">
        <v>33</v>
      </c>
      <c r="H7" s="29">
        <v>10</v>
      </c>
      <c r="I7" s="26" t="s">
        <v>30</v>
      </c>
      <c r="J7" s="30" t="s">
        <v>33</v>
      </c>
      <c r="K7" s="29"/>
      <c r="L7" s="30" t="s">
        <v>29</v>
      </c>
      <c r="M7" s="31">
        <v>20</v>
      </c>
      <c r="N7" s="31">
        <v>2</v>
      </c>
      <c r="O7" s="29" t="s">
        <v>29</v>
      </c>
      <c r="P7" s="29">
        <f t="shared" si="2"/>
        <v>28</v>
      </c>
    </row>
    <row r="8" ht="16.5" customHeight="1" spans="1:16">
      <c r="A8" s="26">
        <v>3237</v>
      </c>
      <c r="B8" s="26" t="s">
        <v>41</v>
      </c>
      <c r="C8" s="26" t="s">
        <v>28</v>
      </c>
      <c r="D8" s="27">
        <v>45719</v>
      </c>
      <c r="E8" s="28">
        <f t="shared" si="0"/>
        <v>45839</v>
      </c>
      <c r="F8" s="27" t="str">
        <f ca="1" t="shared" si="1"/>
        <v>Vencido</v>
      </c>
      <c r="G8" s="26" t="s">
        <v>29</v>
      </c>
      <c r="H8" s="29">
        <v>15</v>
      </c>
      <c r="I8" s="26" t="s">
        <v>37</v>
      </c>
      <c r="J8" s="30" t="s">
        <v>29</v>
      </c>
      <c r="K8" s="29">
        <v>30</v>
      </c>
      <c r="L8" s="30" t="s">
        <v>29</v>
      </c>
      <c r="M8" s="31">
        <v>20</v>
      </c>
      <c r="N8" s="31">
        <v>10</v>
      </c>
      <c r="O8" s="29" t="s">
        <v>29</v>
      </c>
      <c r="P8" s="29">
        <f t="shared" si="2"/>
        <v>55</v>
      </c>
    </row>
    <row r="9" s="10" customFormat="1" ht="16.5" customHeight="1" spans="1:16">
      <c r="A9" s="26">
        <v>3238</v>
      </c>
      <c r="B9" s="26" t="s">
        <v>42</v>
      </c>
      <c r="C9" s="26" t="s">
        <v>32</v>
      </c>
      <c r="D9" s="27">
        <v>45720</v>
      </c>
      <c r="E9" s="28">
        <f t="shared" si="0"/>
        <v>46080</v>
      </c>
      <c r="F9" s="27" t="str">
        <f ca="1" t="shared" si="1"/>
        <v>Vencido</v>
      </c>
      <c r="G9" s="26" t="s">
        <v>29</v>
      </c>
      <c r="H9" s="29">
        <v>5</v>
      </c>
      <c r="I9" s="26" t="s">
        <v>34</v>
      </c>
      <c r="J9" s="30" t="s">
        <v>33</v>
      </c>
      <c r="K9" s="29"/>
      <c r="L9" s="30" t="s">
        <v>33</v>
      </c>
      <c r="M9" s="31"/>
      <c r="N9" s="31">
        <v>0</v>
      </c>
      <c r="O9" s="29" t="s">
        <v>33</v>
      </c>
      <c r="P9" s="29">
        <f t="shared" si="2"/>
        <v>5</v>
      </c>
    </row>
    <row r="10" ht="16.5" customHeight="1" spans="1:16">
      <c r="A10" s="26">
        <v>3239</v>
      </c>
      <c r="B10" s="26" t="s">
        <v>43</v>
      </c>
      <c r="C10" s="26" t="s">
        <v>28</v>
      </c>
      <c r="D10" s="27">
        <v>45721</v>
      </c>
      <c r="E10" s="28">
        <f t="shared" si="0"/>
        <v>45751</v>
      </c>
      <c r="F10" s="27" t="str">
        <f ca="1" t="shared" si="1"/>
        <v>Vencido</v>
      </c>
      <c r="G10" s="26" t="s">
        <v>33</v>
      </c>
      <c r="H10" s="29">
        <v>15</v>
      </c>
      <c r="I10" s="26" t="s">
        <v>30</v>
      </c>
      <c r="J10" s="30" t="s">
        <v>29</v>
      </c>
      <c r="K10" s="29">
        <v>30</v>
      </c>
      <c r="L10" s="30" t="s">
        <v>29</v>
      </c>
      <c r="M10" s="31">
        <v>20</v>
      </c>
      <c r="N10" s="31">
        <v>5</v>
      </c>
      <c r="O10" s="29" t="s">
        <v>29</v>
      </c>
      <c r="P10" s="29">
        <f t="shared" si="2"/>
        <v>60</v>
      </c>
    </row>
    <row r="11" s="10" customFormat="1" ht="16.5" customHeight="1" spans="1:16">
      <c r="A11" s="26">
        <v>3240</v>
      </c>
      <c r="B11" s="26" t="s">
        <v>44</v>
      </c>
      <c r="C11" s="26" t="s">
        <v>36</v>
      </c>
      <c r="D11" s="27">
        <v>45722</v>
      </c>
      <c r="E11" s="28">
        <f t="shared" si="0"/>
        <v>45842</v>
      </c>
      <c r="F11" s="27" t="str">
        <f ca="1" t="shared" si="1"/>
        <v>Vencido</v>
      </c>
      <c r="G11" s="26" t="s">
        <v>29</v>
      </c>
      <c r="H11" s="29">
        <v>10</v>
      </c>
      <c r="I11" s="26" t="s">
        <v>37</v>
      </c>
      <c r="J11" s="30" t="s">
        <v>33</v>
      </c>
      <c r="K11" s="29"/>
      <c r="L11" s="30" t="s">
        <v>29</v>
      </c>
      <c r="M11" s="31">
        <v>20</v>
      </c>
      <c r="N11" s="31">
        <v>15</v>
      </c>
      <c r="O11" s="29" t="s">
        <v>29</v>
      </c>
      <c r="P11" s="29">
        <f t="shared" si="2"/>
        <v>15</v>
      </c>
    </row>
    <row r="12" s="10" customFormat="1" ht="16.5" customHeight="1" spans="1:16">
      <c r="A12" s="26">
        <v>3241</v>
      </c>
      <c r="B12" s="26" t="s">
        <v>45</v>
      </c>
      <c r="C12" s="26" t="s">
        <v>32</v>
      </c>
      <c r="D12" s="27">
        <v>45723</v>
      </c>
      <c r="E12" s="28">
        <f t="shared" si="0"/>
        <v>45753</v>
      </c>
      <c r="F12" s="27" t="str">
        <f ca="1" t="shared" si="1"/>
        <v>Vencido</v>
      </c>
      <c r="G12" s="26" t="s">
        <v>33</v>
      </c>
      <c r="H12" s="29">
        <v>5</v>
      </c>
      <c r="I12" s="26" t="s">
        <v>30</v>
      </c>
      <c r="J12" s="30" t="s">
        <v>33</v>
      </c>
      <c r="K12" s="29"/>
      <c r="L12" s="30" t="s">
        <v>33</v>
      </c>
      <c r="M12" s="31"/>
      <c r="N12" s="31">
        <v>1</v>
      </c>
      <c r="O12" s="29" t="s">
        <v>29</v>
      </c>
      <c r="P12" s="29">
        <f t="shared" si="2"/>
        <v>4</v>
      </c>
    </row>
    <row r="13" ht="16.5" customHeight="1" spans="1:16">
      <c r="A13" s="26">
        <v>3242</v>
      </c>
      <c r="B13" s="26" t="s">
        <v>46</v>
      </c>
      <c r="C13" s="26" t="s">
        <v>28</v>
      </c>
      <c r="D13" s="27">
        <v>45724</v>
      </c>
      <c r="E13" s="28">
        <f t="shared" si="0"/>
        <v>46084</v>
      </c>
      <c r="F13" s="27" t="str">
        <f ca="1" t="shared" si="1"/>
        <v>Vencido</v>
      </c>
      <c r="G13" s="26" t="s">
        <v>29</v>
      </c>
      <c r="H13" s="29">
        <v>15</v>
      </c>
      <c r="I13" s="26" t="s">
        <v>34</v>
      </c>
      <c r="J13" s="30" t="s">
        <v>29</v>
      </c>
      <c r="K13" s="29">
        <v>30</v>
      </c>
      <c r="L13" s="30" t="s">
        <v>29</v>
      </c>
      <c r="M13" s="31">
        <v>20</v>
      </c>
      <c r="N13" s="31">
        <v>20</v>
      </c>
      <c r="O13" s="29" t="s">
        <v>29</v>
      </c>
      <c r="P13" s="29">
        <f t="shared" si="2"/>
        <v>45</v>
      </c>
    </row>
    <row r="14" s="10" customFormat="1" ht="16.5" customHeight="1" spans="1:16">
      <c r="A14" s="26">
        <v>3243</v>
      </c>
      <c r="B14" s="26" t="s">
        <v>47</v>
      </c>
      <c r="C14" s="26" t="s">
        <v>36</v>
      </c>
      <c r="D14" s="27">
        <v>45725</v>
      </c>
      <c r="E14" s="28">
        <f t="shared" si="0"/>
        <v>45755</v>
      </c>
      <c r="F14" s="27" t="str">
        <f ca="1" t="shared" si="1"/>
        <v>Vencido</v>
      </c>
      <c r="G14" s="26" t="s">
        <v>33</v>
      </c>
      <c r="H14" s="29">
        <v>10</v>
      </c>
      <c r="I14" s="26" t="s">
        <v>30</v>
      </c>
      <c r="J14" s="30" t="s">
        <v>33</v>
      </c>
      <c r="K14" s="29"/>
      <c r="L14" s="30" t="s">
        <v>29</v>
      </c>
      <c r="M14" s="31">
        <v>20</v>
      </c>
      <c r="N14" s="31">
        <v>10</v>
      </c>
      <c r="O14" s="29" t="s">
        <v>29</v>
      </c>
      <c r="P14" s="29">
        <f t="shared" si="2"/>
        <v>20</v>
      </c>
    </row>
    <row r="15" s="10" customFormat="1" ht="16.5" customHeight="1" spans="1:16">
      <c r="A15" s="26">
        <v>3244</v>
      </c>
      <c r="B15" s="26" t="s">
        <v>48</v>
      </c>
      <c r="C15" s="26" t="s">
        <v>32</v>
      </c>
      <c r="D15" s="27">
        <v>45726</v>
      </c>
      <c r="E15" s="28">
        <f t="shared" si="0"/>
        <v>45846</v>
      </c>
      <c r="F15" s="27" t="str">
        <f ca="1" t="shared" si="1"/>
        <v>Vencido</v>
      </c>
      <c r="G15" s="26" t="s">
        <v>29</v>
      </c>
      <c r="H15" s="29">
        <v>5</v>
      </c>
      <c r="I15" s="26" t="s">
        <v>37</v>
      </c>
      <c r="J15" s="30" t="s">
        <v>33</v>
      </c>
      <c r="K15" s="29"/>
      <c r="L15" s="30" t="s">
        <v>33</v>
      </c>
      <c r="M15" s="31"/>
      <c r="N15" s="31">
        <v>0</v>
      </c>
      <c r="O15" s="29" t="s">
        <v>33</v>
      </c>
      <c r="P15" s="29">
        <f t="shared" si="2"/>
        <v>5</v>
      </c>
    </row>
    <row r="16" ht="16.5" customHeight="1" spans="1:16">
      <c r="A16" s="26">
        <v>3245</v>
      </c>
      <c r="B16" s="26" t="s">
        <v>49</v>
      </c>
      <c r="C16" s="26" t="s">
        <v>28</v>
      </c>
      <c r="D16" s="27">
        <v>45727</v>
      </c>
      <c r="E16" s="28">
        <f t="shared" si="0"/>
        <v>45757</v>
      </c>
      <c r="F16" s="27" t="str">
        <f ca="1" t="shared" si="1"/>
        <v>Vencido</v>
      </c>
      <c r="G16" s="26" t="s">
        <v>33</v>
      </c>
      <c r="H16" s="29">
        <v>15</v>
      </c>
      <c r="I16" s="26" t="s">
        <v>30</v>
      </c>
      <c r="J16" s="30" t="s">
        <v>29</v>
      </c>
      <c r="K16" s="29">
        <v>30</v>
      </c>
      <c r="L16" s="30" t="s">
        <v>29</v>
      </c>
      <c r="M16" s="31">
        <v>20</v>
      </c>
      <c r="N16" s="31">
        <v>8</v>
      </c>
      <c r="O16" s="29" t="s">
        <v>29</v>
      </c>
      <c r="P16" s="29">
        <f t="shared" si="2"/>
        <v>57</v>
      </c>
    </row>
    <row r="17" s="10" customFormat="1" ht="16.5" customHeight="1" spans="1:16">
      <c r="A17" s="26">
        <v>3246</v>
      </c>
      <c r="B17" s="26" t="s">
        <v>50</v>
      </c>
      <c r="C17" s="26" t="s">
        <v>36</v>
      </c>
      <c r="D17" s="27">
        <v>45728</v>
      </c>
      <c r="E17" s="28">
        <f t="shared" si="0"/>
        <v>46088</v>
      </c>
      <c r="F17" s="27" t="str">
        <f ca="1" t="shared" si="1"/>
        <v>Vencido</v>
      </c>
      <c r="G17" s="26" t="s">
        <v>29</v>
      </c>
      <c r="H17" s="29">
        <v>10</v>
      </c>
      <c r="I17" s="26" t="s">
        <v>34</v>
      </c>
      <c r="J17" s="30" t="s">
        <v>33</v>
      </c>
      <c r="K17" s="29"/>
      <c r="L17" s="30" t="s">
        <v>29</v>
      </c>
      <c r="M17" s="31">
        <v>20</v>
      </c>
      <c r="N17" s="31">
        <v>12</v>
      </c>
      <c r="O17" s="29" t="s">
        <v>29</v>
      </c>
      <c r="P17" s="29">
        <f t="shared" si="2"/>
        <v>18</v>
      </c>
    </row>
    <row r="18" s="10" customFormat="1" ht="16.5" customHeight="1" spans="1:16">
      <c r="A18" s="26">
        <v>3247</v>
      </c>
      <c r="B18" s="26" t="s">
        <v>51</v>
      </c>
      <c r="C18" s="26" t="s">
        <v>32</v>
      </c>
      <c r="D18" s="27">
        <v>45729</v>
      </c>
      <c r="E18" s="28">
        <f t="shared" si="0"/>
        <v>45759</v>
      </c>
      <c r="F18" s="27" t="str">
        <f ca="1" t="shared" si="1"/>
        <v>Vencido</v>
      </c>
      <c r="G18" s="26" t="s">
        <v>33</v>
      </c>
      <c r="H18" s="29">
        <v>5</v>
      </c>
      <c r="I18" s="26" t="s">
        <v>30</v>
      </c>
      <c r="J18" s="30" t="s">
        <v>33</v>
      </c>
      <c r="K18" s="29"/>
      <c r="L18" s="30" t="s">
        <v>33</v>
      </c>
      <c r="M18" s="31"/>
      <c r="N18" s="31">
        <v>2</v>
      </c>
      <c r="O18" s="29" t="s">
        <v>29</v>
      </c>
      <c r="P18" s="29">
        <f t="shared" si="2"/>
        <v>3</v>
      </c>
    </row>
    <row r="19" ht="16.5" customHeight="1" spans="1:16">
      <c r="A19" s="26">
        <v>3248</v>
      </c>
      <c r="B19" s="26" t="s">
        <v>52</v>
      </c>
      <c r="C19" s="26" t="s">
        <v>28</v>
      </c>
      <c r="D19" s="27">
        <v>45730</v>
      </c>
      <c r="E19" s="28">
        <f t="shared" si="0"/>
        <v>45850</v>
      </c>
      <c r="F19" s="27" t="str">
        <f ca="1" t="shared" si="1"/>
        <v>Vencido</v>
      </c>
      <c r="G19" s="26" t="s">
        <v>29</v>
      </c>
      <c r="H19" s="29">
        <v>15</v>
      </c>
      <c r="I19" s="26" t="s">
        <v>37</v>
      </c>
      <c r="J19" s="30" t="s">
        <v>29</v>
      </c>
      <c r="K19" s="29">
        <v>30</v>
      </c>
      <c r="L19" s="30" t="s">
        <v>29</v>
      </c>
      <c r="M19" s="31">
        <v>20</v>
      </c>
      <c r="N19" s="31">
        <v>7</v>
      </c>
      <c r="O19" s="29" t="s">
        <v>29</v>
      </c>
      <c r="P19" s="29">
        <f t="shared" si="2"/>
        <v>58</v>
      </c>
    </row>
    <row r="20" s="10" customFormat="1" ht="16.5" customHeight="1" spans="1:16">
      <c r="A20" s="26">
        <v>3249</v>
      </c>
      <c r="B20" s="26" t="s">
        <v>53</v>
      </c>
      <c r="C20" s="26" t="s">
        <v>36</v>
      </c>
      <c r="D20" s="27">
        <v>45731</v>
      </c>
      <c r="E20" s="28">
        <f t="shared" si="0"/>
        <v>45761</v>
      </c>
      <c r="F20" s="27" t="str">
        <f ca="1" t="shared" si="1"/>
        <v>Vencido</v>
      </c>
      <c r="G20" s="26" t="s">
        <v>33</v>
      </c>
      <c r="H20" s="29">
        <v>10</v>
      </c>
      <c r="I20" s="26" t="s">
        <v>30</v>
      </c>
      <c r="J20" s="30" t="s">
        <v>33</v>
      </c>
      <c r="K20" s="29"/>
      <c r="L20" s="30" t="s">
        <v>29</v>
      </c>
      <c r="M20" s="31">
        <v>20</v>
      </c>
      <c r="N20" s="31">
        <v>5</v>
      </c>
      <c r="O20" s="29" t="s">
        <v>29</v>
      </c>
      <c r="P20" s="29">
        <f t="shared" si="2"/>
        <v>25</v>
      </c>
    </row>
    <row r="21" s="10" customFormat="1" ht="16.5" customHeight="1" spans="1:16">
      <c r="A21" s="26">
        <v>3250</v>
      </c>
      <c r="B21" s="26" t="s">
        <v>54</v>
      </c>
      <c r="C21" s="26" t="s">
        <v>32</v>
      </c>
      <c r="D21" s="27">
        <v>45732</v>
      </c>
      <c r="E21" s="28">
        <f t="shared" si="0"/>
        <v>46092</v>
      </c>
      <c r="F21" s="27" t="str">
        <f ca="1" t="shared" si="1"/>
        <v>Vencido</v>
      </c>
      <c r="G21" s="26" t="s">
        <v>29</v>
      </c>
      <c r="H21" s="29">
        <v>5</v>
      </c>
      <c r="I21" s="26" t="s">
        <v>34</v>
      </c>
      <c r="J21" s="30" t="s">
        <v>33</v>
      </c>
      <c r="K21" s="29"/>
      <c r="L21" s="30" t="s">
        <v>33</v>
      </c>
      <c r="M21" s="31"/>
      <c r="N21" s="31">
        <v>0</v>
      </c>
      <c r="O21" s="29" t="s">
        <v>33</v>
      </c>
      <c r="P21" s="29">
        <f t="shared" si="2"/>
        <v>5</v>
      </c>
    </row>
    <row r="22" ht="16.5" customHeight="1" spans="1:16">
      <c r="A22" s="26">
        <v>3251</v>
      </c>
      <c r="B22" s="26" t="s">
        <v>55</v>
      </c>
      <c r="C22" s="26" t="s">
        <v>28</v>
      </c>
      <c r="D22" s="27">
        <v>45733</v>
      </c>
      <c r="E22" s="28">
        <f t="shared" si="0"/>
        <v>45763</v>
      </c>
      <c r="F22" s="27" t="str">
        <f ca="1" t="shared" si="1"/>
        <v>Vencido</v>
      </c>
      <c r="G22" s="26" t="s">
        <v>33</v>
      </c>
      <c r="H22" s="29">
        <v>15</v>
      </c>
      <c r="I22" s="26" t="s">
        <v>30</v>
      </c>
      <c r="J22" s="30" t="s">
        <v>29</v>
      </c>
      <c r="K22" s="29">
        <v>30</v>
      </c>
      <c r="L22" s="30" t="s">
        <v>29</v>
      </c>
      <c r="M22" s="31">
        <v>20</v>
      </c>
      <c r="N22" s="31">
        <v>3</v>
      </c>
      <c r="O22" s="29" t="s">
        <v>29</v>
      </c>
      <c r="P22" s="29">
        <f t="shared" si="2"/>
        <v>62</v>
      </c>
    </row>
    <row r="23" s="10" customFormat="1" ht="16.5" customHeight="1" spans="1:16">
      <c r="A23" s="26">
        <v>3252</v>
      </c>
      <c r="B23" s="26" t="s">
        <v>56</v>
      </c>
      <c r="C23" s="26" t="s">
        <v>36</v>
      </c>
      <c r="D23" s="27">
        <v>45734</v>
      </c>
      <c r="E23" s="28">
        <f t="shared" si="0"/>
        <v>45854</v>
      </c>
      <c r="F23" s="27" t="str">
        <f ca="1" t="shared" si="1"/>
        <v>Vencido</v>
      </c>
      <c r="G23" s="26" t="s">
        <v>29</v>
      </c>
      <c r="H23" s="29">
        <v>10</v>
      </c>
      <c r="I23" s="26" t="s">
        <v>37</v>
      </c>
      <c r="J23" s="30" t="s">
        <v>33</v>
      </c>
      <c r="K23" s="29"/>
      <c r="L23" s="30" t="s">
        <v>29</v>
      </c>
      <c r="M23" s="31">
        <v>20</v>
      </c>
      <c r="N23" s="31">
        <v>15</v>
      </c>
      <c r="O23" s="29" t="s">
        <v>29</v>
      </c>
      <c r="P23" s="29">
        <f t="shared" si="2"/>
        <v>15</v>
      </c>
    </row>
    <row r="24" s="10" customFormat="1" ht="16.5" customHeight="1" spans="1:16">
      <c r="A24" s="26">
        <v>3253</v>
      </c>
      <c r="B24" s="26" t="s">
        <v>57</v>
      </c>
      <c r="C24" s="26" t="s">
        <v>32</v>
      </c>
      <c r="D24" s="27">
        <v>45735</v>
      </c>
      <c r="E24" s="28">
        <f t="shared" si="0"/>
        <v>45765</v>
      </c>
      <c r="F24" s="27" t="str">
        <f ca="1" t="shared" si="1"/>
        <v>Vencido</v>
      </c>
      <c r="G24" s="26" t="s">
        <v>33</v>
      </c>
      <c r="H24" s="29">
        <v>5</v>
      </c>
      <c r="I24" s="26" t="s">
        <v>30</v>
      </c>
      <c r="J24" s="30" t="s">
        <v>33</v>
      </c>
      <c r="K24" s="29"/>
      <c r="L24" s="30" t="s">
        <v>33</v>
      </c>
      <c r="M24" s="31"/>
      <c r="N24" s="31">
        <v>1</v>
      </c>
      <c r="O24" s="29" t="s">
        <v>29</v>
      </c>
      <c r="P24" s="29">
        <f t="shared" si="2"/>
        <v>4</v>
      </c>
    </row>
    <row r="25" ht="16.5" customHeight="1" spans="1:16">
      <c r="A25" s="26">
        <v>3254</v>
      </c>
      <c r="B25" s="26" t="s">
        <v>58</v>
      </c>
      <c r="C25" s="26" t="s">
        <v>28</v>
      </c>
      <c r="D25" s="27">
        <v>45736</v>
      </c>
      <c r="E25" s="28">
        <f t="shared" si="0"/>
        <v>46096</v>
      </c>
      <c r="F25" s="27" t="str">
        <f ca="1" t="shared" si="1"/>
        <v>Vencido</v>
      </c>
      <c r="G25" s="26" t="s">
        <v>29</v>
      </c>
      <c r="H25" s="29">
        <v>15</v>
      </c>
      <c r="I25" s="26" t="s">
        <v>34</v>
      </c>
      <c r="J25" s="30" t="s">
        <v>29</v>
      </c>
      <c r="K25" s="29">
        <v>30</v>
      </c>
      <c r="L25" s="30" t="s">
        <v>29</v>
      </c>
      <c r="M25" s="31">
        <v>20</v>
      </c>
      <c r="N25" s="31">
        <v>20</v>
      </c>
      <c r="O25" s="29" t="s">
        <v>29</v>
      </c>
      <c r="P25" s="29">
        <f t="shared" si="2"/>
        <v>45</v>
      </c>
    </row>
    <row r="26" s="10" customFormat="1" ht="16.5" customHeight="1" spans="1:16">
      <c r="A26" s="26">
        <v>3255</v>
      </c>
      <c r="B26" s="26" t="s">
        <v>59</v>
      </c>
      <c r="C26" s="26" t="s">
        <v>36</v>
      </c>
      <c r="D26" s="27">
        <v>45737</v>
      </c>
      <c r="E26" s="28">
        <f t="shared" si="0"/>
        <v>45767</v>
      </c>
      <c r="F26" s="27" t="str">
        <f ca="1" t="shared" si="1"/>
        <v>Vencido</v>
      </c>
      <c r="G26" s="26" t="s">
        <v>33</v>
      </c>
      <c r="H26" s="29">
        <v>10</v>
      </c>
      <c r="I26" s="26" t="s">
        <v>30</v>
      </c>
      <c r="J26" s="30" t="s">
        <v>33</v>
      </c>
      <c r="K26" s="29"/>
      <c r="L26" s="30" t="s">
        <v>29</v>
      </c>
      <c r="M26" s="31">
        <v>20</v>
      </c>
      <c r="N26" s="31">
        <v>10</v>
      </c>
      <c r="O26" s="29" t="s">
        <v>29</v>
      </c>
      <c r="P26" s="29">
        <f t="shared" si="2"/>
        <v>20</v>
      </c>
    </row>
    <row r="27" s="10" customFormat="1" ht="16.5" customHeight="1" spans="1:16">
      <c r="A27" s="26">
        <v>3256</v>
      </c>
      <c r="B27" s="26" t="s">
        <v>60</v>
      </c>
      <c r="C27" s="26" t="s">
        <v>32</v>
      </c>
      <c r="D27" s="27">
        <v>45738</v>
      </c>
      <c r="E27" s="28">
        <f t="shared" si="0"/>
        <v>45858</v>
      </c>
      <c r="F27" s="27" t="str">
        <f ca="1" t="shared" si="1"/>
        <v>Vencido</v>
      </c>
      <c r="G27" s="26" t="s">
        <v>29</v>
      </c>
      <c r="H27" s="29">
        <v>5</v>
      </c>
      <c r="I27" s="26" t="s">
        <v>37</v>
      </c>
      <c r="J27" s="30" t="s">
        <v>33</v>
      </c>
      <c r="K27" s="29"/>
      <c r="L27" s="30" t="s">
        <v>33</v>
      </c>
      <c r="M27" s="31"/>
      <c r="N27" s="31">
        <v>0</v>
      </c>
      <c r="O27" s="29" t="s">
        <v>33</v>
      </c>
      <c r="P27" s="29">
        <f t="shared" si="2"/>
        <v>5</v>
      </c>
    </row>
    <row r="28" ht="16.5" customHeight="1" spans="1:16">
      <c r="A28" s="26">
        <v>3257</v>
      </c>
      <c r="B28" s="26" t="s">
        <v>61</v>
      </c>
      <c r="C28" s="26" t="s">
        <v>28</v>
      </c>
      <c r="D28" s="27">
        <v>45739</v>
      </c>
      <c r="E28" s="28">
        <f t="shared" si="0"/>
        <v>45769</v>
      </c>
      <c r="F28" s="27" t="str">
        <f ca="1" t="shared" si="1"/>
        <v>Vencido</v>
      </c>
      <c r="G28" s="26" t="s">
        <v>33</v>
      </c>
      <c r="H28" s="29">
        <v>15</v>
      </c>
      <c r="I28" s="26" t="s">
        <v>30</v>
      </c>
      <c r="J28" s="30" t="s">
        <v>29</v>
      </c>
      <c r="K28" s="29">
        <v>30</v>
      </c>
      <c r="L28" s="30" t="s">
        <v>29</v>
      </c>
      <c r="M28" s="31">
        <v>20</v>
      </c>
      <c r="N28" s="31">
        <v>5</v>
      </c>
      <c r="O28" s="29" t="s">
        <v>29</v>
      </c>
      <c r="P28" s="29">
        <f t="shared" si="2"/>
        <v>60</v>
      </c>
    </row>
    <row r="29" s="10" customFormat="1" ht="16.5" customHeight="1" spans="1:16">
      <c r="A29" s="26">
        <v>3258</v>
      </c>
      <c r="B29" s="26" t="s">
        <v>62</v>
      </c>
      <c r="C29" s="26" t="s">
        <v>36</v>
      </c>
      <c r="D29" s="27">
        <v>45740</v>
      </c>
      <c r="E29" s="28">
        <f t="shared" si="0"/>
        <v>46100</v>
      </c>
      <c r="F29" s="27" t="str">
        <f ca="1" t="shared" si="1"/>
        <v>Vencido</v>
      </c>
      <c r="G29" s="26" t="s">
        <v>29</v>
      </c>
      <c r="H29" s="29">
        <v>10</v>
      </c>
      <c r="I29" s="26" t="s">
        <v>34</v>
      </c>
      <c r="J29" s="30" t="s">
        <v>33</v>
      </c>
      <c r="K29" s="29"/>
      <c r="L29" s="30" t="s">
        <v>29</v>
      </c>
      <c r="M29" s="31">
        <v>20</v>
      </c>
      <c r="N29" s="31">
        <v>15</v>
      </c>
      <c r="O29" s="29" t="s">
        <v>29</v>
      </c>
      <c r="P29" s="29">
        <f t="shared" si="2"/>
        <v>15</v>
      </c>
    </row>
    <row r="30" s="10" customFormat="1" ht="16.5" customHeight="1" spans="1:16">
      <c r="A30" s="26">
        <v>3259</v>
      </c>
      <c r="B30" s="26" t="s">
        <v>63</v>
      </c>
      <c r="C30" s="26" t="s">
        <v>32</v>
      </c>
      <c r="D30" s="27">
        <v>45741</v>
      </c>
      <c r="E30" s="28">
        <f t="shared" si="0"/>
        <v>45771</v>
      </c>
      <c r="F30" s="27" t="str">
        <f ca="1" t="shared" si="1"/>
        <v>Vencido</v>
      </c>
      <c r="G30" s="26" t="s">
        <v>33</v>
      </c>
      <c r="H30" s="29">
        <v>5</v>
      </c>
      <c r="I30" s="26" t="s">
        <v>30</v>
      </c>
      <c r="J30" s="30" t="s">
        <v>33</v>
      </c>
      <c r="K30" s="29"/>
      <c r="L30" s="30" t="s">
        <v>33</v>
      </c>
      <c r="M30" s="31"/>
      <c r="N30" s="31">
        <v>1</v>
      </c>
      <c r="O30" s="29" t="s">
        <v>29</v>
      </c>
      <c r="P30" s="29">
        <f t="shared" si="2"/>
        <v>4</v>
      </c>
    </row>
    <row r="31" ht="16.5" customHeight="1" spans="1:16">
      <c r="A31" s="26">
        <v>3260</v>
      </c>
      <c r="B31" s="26" t="s">
        <v>64</v>
      </c>
      <c r="C31" s="26" t="s">
        <v>28</v>
      </c>
      <c r="D31" s="27">
        <v>45742</v>
      </c>
      <c r="E31" s="28">
        <f t="shared" si="0"/>
        <v>45862</v>
      </c>
      <c r="F31" s="27" t="str">
        <f ca="1" t="shared" si="1"/>
        <v>Vencido</v>
      </c>
      <c r="G31" s="26" t="s">
        <v>29</v>
      </c>
      <c r="H31" s="29">
        <v>15</v>
      </c>
      <c r="I31" s="26" t="s">
        <v>37</v>
      </c>
      <c r="J31" s="30" t="s">
        <v>29</v>
      </c>
      <c r="K31" s="29">
        <v>30</v>
      </c>
      <c r="L31" s="30" t="s">
        <v>29</v>
      </c>
      <c r="M31" s="31">
        <v>20</v>
      </c>
      <c r="N31" s="31">
        <v>7</v>
      </c>
      <c r="O31" s="29" t="s">
        <v>29</v>
      </c>
      <c r="P31" s="29">
        <f t="shared" si="2"/>
        <v>58</v>
      </c>
    </row>
    <row r="32" s="10" customFormat="1" ht="16.5" customHeight="1" spans="1:16">
      <c r="A32" s="26">
        <v>3261</v>
      </c>
      <c r="B32" s="26" t="s">
        <v>65</v>
      </c>
      <c r="C32" s="26" t="s">
        <v>36</v>
      </c>
      <c r="D32" s="27">
        <v>45743</v>
      </c>
      <c r="E32" s="28">
        <f t="shared" si="0"/>
        <v>45773</v>
      </c>
      <c r="F32" s="27" t="str">
        <f ca="1" t="shared" si="1"/>
        <v>Vencido</v>
      </c>
      <c r="G32" s="26" t="s">
        <v>33</v>
      </c>
      <c r="H32" s="29">
        <v>10</v>
      </c>
      <c r="I32" s="26" t="s">
        <v>30</v>
      </c>
      <c r="J32" s="30" t="s">
        <v>33</v>
      </c>
      <c r="K32" s="29"/>
      <c r="L32" s="30" t="s">
        <v>29</v>
      </c>
      <c r="M32" s="31">
        <v>20</v>
      </c>
      <c r="N32" s="31">
        <v>10</v>
      </c>
      <c r="O32" s="29" t="s">
        <v>29</v>
      </c>
      <c r="P32" s="29">
        <f t="shared" si="2"/>
        <v>20</v>
      </c>
    </row>
    <row r="33" s="10" customFormat="1" ht="16.5" customHeight="1" spans="1:16">
      <c r="A33" s="26">
        <v>3262</v>
      </c>
      <c r="B33" s="26" t="s">
        <v>66</v>
      </c>
      <c r="C33" s="26" t="s">
        <v>32</v>
      </c>
      <c r="D33" s="27">
        <v>45744</v>
      </c>
      <c r="E33" s="28">
        <f t="shared" si="0"/>
        <v>46104</v>
      </c>
      <c r="F33" s="27" t="str">
        <f ca="1" t="shared" si="1"/>
        <v>Vencido</v>
      </c>
      <c r="G33" s="26" t="s">
        <v>29</v>
      </c>
      <c r="H33" s="29">
        <v>5</v>
      </c>
      <c r="I33" s="26" t="s">
        <v>34</v>
      </c>
      <c r="J33" s="30" t="s">
        <v>33</v>
      </c>
      <c r="K33" s="29"/>
      <c r="L33" s="30" t="s">
        <v>33</v>
      </c>
      <c r="M33" s="31"/>
      <c r="N33" s="31">
        <v>0</v>
      </c>
      <c r="O33" s="29" t="s">
        <v>33</v>
      </c>
      <c r="P33" s="29">
        <f t="shared" si="2"/>
        <v>5</v>
      </c>
    </row>
    <row r="34" ht="16.5" customHeight="1" spans="1:16">
      <c r="A34" s="26">
        <v>3263</v>
      </c>
      <c r="B34" s="26" t="s">
        <v>67</v>
      </c>
      <c r="C34" s="26" t="s">
        <v>28</v>
      </c>
      <c r="D34" s="27">
        <v>45745</v>
      </c>
      <c r="E34" s="28">
        <f t="shared" si="0"/>
        <v>45775</v>
      </c>
      <c r="F34" s="27" t="str">
        <f ca="1" t="shared" si="1"/>
        <v>Vencido</v>
      </c>
      <c r="G34" s="26" t="s">
        <v>33</v>
      </c>
      <c r="H34" s="29">
        <v>15</v>
      </c>
      <c r="I34" s="26" t="s">
        <v>30</v>
      </c>
      <c r="J34" s="30" t="s">
        <v>29</v>
      </c>
      <c r="K34" s="29">
        <v>30</v>
      </c>
      <c r="L34" s="30" t="s">
        <v>29</v>
      </c>
      <c r="M34" s="31">
        <v>20</v>
      </c>
      <c r="N34" s="31">
        <v>3</v>
      </c>
      <c r="O34" s="29" t="s">
        <v>29</v>
      </c>
      <c r="P34" s="29">
        <f t="shared" si="2"/>
        <v>62</v>
      </c>
    </row>
    <row r="35" s="10" customFormat="1" ht="16.5" customHeight="1" spans="1:16">
      <c r="A35" s="26">
        <v>3264</v>
      </c>
      <c r="B35" s="26" t="s">
        <v>68</v>
      </c>
      <c r="C35" s="26" t="s">
        <v>36</v>
      </c>
      <c r="D35" s="27">
        <v>45746</v>
      </c>
      <c r="E35" s="28">
        <f t="shared" si="0"/>
        <v>45866</v>
      </c>
      <c r="F35" s="27" t="str">
        <f ca="1" t="shared" si="1"/>
        <v>Vencido</v>
      </c>
      <c r="G35" s="26" t="s">
        <v>29</v>
      </c>
      <c r="H35" s="29">
        <v>10</v>
      </c>
      <c r="I35" s="26" t="s">
        <v>37</v>
      </c>
      <c r="J35" s="30" t="s">
        <v>33</v>
      </c>
      <c r="K35" s="29"/>
      <c r="L35" s="30" t="s">
        <v>29</v>
      </c>
      <c r="M35" s="31">
        <v>20</v>
      </c>
      <c r="N35" s="31">
        <v>15</v>
      </c>
      <c r="O35" s="29" t="s">
        <v>29</v>
      </c>
      <c r="P35" s="29">
        <f t="shared" si="2"/>
        <v>15</v>
      </c>
    </row>
    <row r="36" s="10" customFormat="1" ht="16.5" customHeight="1" spans="1:16">
      <c r="A36" s="26">
        <v>3265</v>
      </c>
      <c r="B36" s="26" t="s">
        <v>69</v>
      </c>
      <c r="C36" s="26" t="s">
        <v>32</v>
      </c>
      <c r="D36" s="27">
        <v>45747</v>
      </c>
      <c r="E36" s="28">
        <f t="shared" si="0"/>
        <v>45777</v>
      </c>
      <c r="F36" s="27" t="str">
        <f ca="1" t="shared" si="1"/>
        <v>Vencido</v>
      </c>
      <c r="G36" s="26" t="s">
        <v>33</v>
      </c>
      <c r="H36" s="29">
        <v>5</v>
      </c>
      <c r="I36" s="26" t="s">
        <v>30</v>
      </c>
      <c r="J36" s="30" t="s">
        <v>33</v>
      </c>
      <c r="K36" s="29"/>
      <c r="L36" s="30" t="s">
        <v>33</v>
      </c>
      <c r="M36" s="31"/>
      <c r="N36" s="31">
        <v>1</v>
      </c>
      <c r="O36" s="29" t="s">
        <v>29</v>
      </c>
      <c r="P36" s="29">
        <f t="shared" si="2"/>
        <v>4</v>
      </c>
    </row>
    <row r="37" s="10" customFormat="1" ht="16.5" customHeight="1" spans="1:16">
      <c r="A37" s="26">
        <v>3266</v>
      </c>
      <c r="B37" s="26" t="s">
        <v>70</v>
      </c>
      <c r="C37" s="26" t="s">
        <v>32</v>
      </c>
      <c r="D37" s="27">
        <v>45748</v>
      </c>
      <c r="E37" s="28">
        <f t="shared" si="0"/>
        <v>45778</v>
      </c>
      <c r="F37" s="27" t="str">
        <f ca="1" t="shared" si="1"/>
        <v>Vencido</v>
      </c>
      <c r="G37" s="26" t="s">
        <v>29</v>
      </c>
      <c r="H37" s="29">
        <v>5</v>
      </c>
      <c r="I37" s="26" t="s">
        <v>30</v>
      </c>
      <c r="J37" s="30" t="s">
        <v>33</v>
      </c>
      <c r="K37" s="29"/>
      <c r="L37" s="30" t="s">
        <v>33</v>
      </c>
      <c r="M37" s="31"/>
      <c r="N37" s="31">
        <v>0</v>
      </c>
      <c r="O37" s="29" t="s">
        <v>33</v>
      </c>
      <c r="P37" s="29">
        <f t="shared" si="2"/>
        <v>5</v>
      </c>
    </row>
    <row r="38" ht="16.5" customHeight="1" spans="1:16">
      <c r="A38" s="26">
        <v>3267</v>
      </c>
      <c r="B38" s="26" t="s">
        <v>71</v>
      </c>
      <c r="C38" s="26" t="s">
        <v>28</v>
      </c>
      <c r="D38" s="27">
        <v>45749</v>
      </c>
      <c r="E38" s="28">
        <f t="shared" si="0"/>
        <v>45869</v>
      </c>
      <c r="F38" s="27" t="str">
        <f ca="1" t="shared" si="1"/>
        <v>Vencido</v>
      </c>
      <c r="G38" s="26" t="s">
        <v>33</v>
      </c>
      <c r="H38" s="29">
        <v>15</v>
      </c>
      <c r="I38" s="26" t="s">
        <v>37</v>
      </c>
      <c r="J38" s="30" t="s">
        <v>29</v>
      </c>
      <c r="K38" s="29">
        <v>30</v>
      </c>
      <c r="L38" s="30" t="s">
        <v>29</v>
      </c>
      <c r="M38" s="31">
        <v>20</v>
      </c>
      <c r="N38" s="31">
        <v>7</v>
      </c>
      <c r="O38" s="29" t="s">
        <v>29</v>
      </c>
      <c r="P38" s="29">
        <f t="shared" si="2"/>
        <v>58</v>
      </c>
    </row>
    <row r="39" s="10" customFormat="1" ht="16.5" customHeight="1" spans="1:16">
      <c r="A39" s="26">
        <v>3268</v>
      </c>
      <c r="B39" s="26" t="s">
        <v>72</v>
      </c>
      <c r="C39" s="26" t="s">
        <v>36</v>
      </c>
      <c r="D39" s="27">
        <v>45750</v>
      </c>
      <c r="E39" s="28">
        <f t="shared" si="0"/>
        <v>46110</v>
      </c>
      <c r="F39" s="27" t="str">
        <f ca="1" t="shared" si="1"/>
        <v>Vencido</v>
      </c>
      <c r="G39" s="26" t="s">
        <v>29</v>
      </c>
      <c r="H39" s="29">
        <v>10</v>
      </c>
      <c r="I39" s="26" t="s">
        <v>34</v>
      </c>
      <c r="J39" s="30" t="s">
        <v>33</v>
      </c>
      <c r="K39" s="29"/>
      <c r="L39" s="30" t="s">
        <v>29</v>
      </c>
      <c r="M39" s="31">
        <v>20</v>
      </c>
      <c r="N39" s="31">
        <v>10</v>
      </c>
      <c r="O39" s="29" t="s">
        <v>29</v>
      </c>
      <c r="P39" s="29">
        <f t="shared" si="2"/>
        <v>20</v>
      </c>
    </row>
    <row r="40" s="10" customFormat="1" ht="16.5" customHeight="1" spans="1:16">
      <c r="A40" s="26">
        <v>3269</v>
      </c>
      <c r="B40" s="26" t="s">
        <v>73</v>
      </c>
      <c r="C40" s="26" t="s">
        <v>32</v>
      </c>
      <c r="D40" s="27">
        <v>45751</v>
      </c>
      <c r="E40" s="28">
        <f t="shared" si="0"/>
        <v>45871</v>
      </c>
      <c r="F40" s="27" t="str">
        <f ca="1" t="shared" si="1"/>
        <v>Vencido</v>
      </c>
      <c r="G40" s="26" t="s">
        <v>33</v>
      </c>
      <c r="H40" s="29">
        <v>5</v>
      </c>
      <c r="I40" s="26" t="s">
        <v>37</v>
      </c>
      <c r="J40" s="30" t="s">
        <v>33</v>
      </c>
      <c r="K40" s="29"/>
      <c r="L40" s="30" t="s">
        <v>33</v>
      </c>
      <c r="M40" s="31"/>
      <c r="N40" s="31">
        <v>1</v>
      </c>
      <c r="O40" s="29" t="s">
        <v>29</v>
      </c>
      <c r="P40" s="29">
        <f t="shared" si="2"/>
        <v>4</v>
      </c>
    </row>
    <row r="41" ht="16.5" customHeight="1" spans="1:16">
      <c r="A41" s="26">
        <v>3270</v>
      </c>
      <c r="B41" s="26" t="s">
        <v>74</v>
      </c>
      <c r="C41" s="26" t="s">
        <v>28</v>
      </c>
      <c r="D41" s="27">
        <v>45752</v>
      </c>
      <c r="E41" s="28">
        <f t="shared" si="0"/>
        <v>45782</v>
      </c>
      <c r="F41" s="27" t="str">
        <f ca="1" t="shared" si="1"/>
        <v>Vencido</v>
      </c>
      <c r="G41" s="26" t="s">
        <v>29</v>
      </c>
      <c r="H41" s="29">
        <v>15</v>
      </c>
      <c r="I41" s="26" t="s">
        <v>30</v>
      </c>
      <c r="J41" s="30" t="s">
        <v>29</v>
      </c>
      <c r="K41" s="29">
        <v>30</v>
      </c>
      <c r="L41" s="30" t="s">
        <v>29</v>
      </c>
      <c r="M41" s="31">
        <v>20</v>
      </c>
      <c r="N41" s="31">
        <v>15</v>
      </c>
      <c r="O41" s="29" t="s">
        <v>29</v>
      </c>
      <c r="P41" s="29">
        <f t="shared" si="2"/>
        <v>50</v>
      </c>
    </row>
    <row r="42" s="10" customFormat="1" ht="16.5" customHeight="1" spans="1:16">
      <c r="A42" s="26">
        <v>3271</v>
      </c>
      <c r="B42" s="26" t="s">
        <v>75</v>
      </c>
      <c r="C42" s="26" t="s">
        <v>36</v>
      </c>
      <c r="D42" s="27">
        <v>45753</v>
      </c>
      <c r="E42" s="28">
        <f t="shared" si="0"/>
        <v>45783</v>
      </c>
      <c r="F42" s="27" t="str">
        <f ca="1" t="shared" si="1"/>
        <v>Vencido</v>
      </c>
      <c r="G42" s="26" t="s">
        <v>33</v>
      </c>
      <c r="H42" s="29">
        <v>10</v>
      </c>
      <c r="I42" s="26" t="s">
        <v>30</v>
      </c>
      <c r="J42" s="30" t="s">
        <v>33</v>
      </c>
      <c r="K42" s="29"/>
      <c r="L42" s="30" t="s">
        <v>29</v>
      </c>
      <c r="M42" s="31">
        <v>20</v>
      </c>
      <c r="N42" s="31">
        <v>5</v>
      </c>
      <c r="O42" s="29" t="s">
        <v>29</v>
      </c>
      <c r="P42" s="29">
        <f t="shared" si="2"/>
        <v>25</v>
      </c>
    </row>
    <row r="43" s="10" customFormat="1" ht="16.5" customHeight="1" spans="1:16">
      <c r="A43" s="26">
        <v>3272</v>
      </c>
      <c r="B43" s="26" t="s">
        <v>76</v>
      </c>
      <c r="C43" s="26" t="s">
        <v>32</v>
      </c>
      <c r="D43" s="27">
        <v>45754</v>
      </c>
      <c r="E43" s="28">
        <f t="shared" si="0"/>
        <v>46114</v>
      </c>
      <c r="F43" s="27" t="str">
        <f ca="1" t="shared" si="1"/>
        <v>Vencido</v>
      </c>
      <c r="G43" s="26" t="s">
        <v>29</v>
      </c>
      <c r="H43" s="29">
        <v>5</v>
      </c>
      <c r="I43" s="26" t="s">
        <v>34</v>
      </c>
      <c r="J43" s="30" t="s">
        <v>33</v>
      </c>
      <c r="K43" s="29"/>
      <c r="L43" s="30" t="s">
        <v>33</v>
      </c>
      <c r="M43" s="31"/>
      <c r="N43" s="31">
        <v>0</v>
      </c>
      <c r="O43" s="29" t="s">
        <v>33</v>
      </c>
      <c r="P43" s="29">
        <f t="shared" si="2"/>
        <v>5</v>
      </c>
    </row>
    <row r="44" ht="16.5" customHeight="1" spans="1:16">
      <c r="A44" s="26">
        <v>3273</v>
      </c>
      <c r="B44" s="26" t="s">
        <v>77</v>
      </c>
      <c r="C44" s="26" t="s">
        <v>28</v>
      </c>
      <c r="D44" s="27">
        <v>45755</v>
      </c>
      <c r="E44" s="28">
        <f t="shared" si="0"/>
        <v>45875</v>
      </c>
      <c r="F44" s="27" t="str">
        <f ca="1" t="shared" si="1"/>
        <v>Vencido</v>
      </c>
      <c r="G44" s="26" t="s">
        <v>33</v>
      </c>
      <c r="H44" s="29">
        <v>15</v>
      </c>
      <c r="I44" s="26" t="s">
        <v>37</v>
      </c>
      <c r="J44" s="30" t="s">
        <v>29</v>
      </c>
      <c r="K44" s="29">
        <v>30</v>
      </c>
      <c r="L44" s="30" t="s">
        <v>29</v>
      </c>
      <c r="M44" s="31">
        <v>20</v>
      </c>
      <c r="N44" s="31">
        <v>20</v>
      </c>
      <c r="O44" s="29" t="s">
        <v>29</v>
      </c>
      <c r="P44" s="29">
        <f t="shared" si="2"/>
        <v>45</v>
      </c>
    </row>
    <row r="45" s="10" customFormat="1" ht="16.5" customHeight="1" spans="1:16">
      <c r="A45" s="26">
        <v>3274</v>
      </c>
      <c r="B45" s="26" t="s">
        <v>78</v>
      </c>
      <c r="C45" s="26" t="s">
        <v>36</v>
      </c>
      <c r="D45" s="27">
        <v>45756</v>
      </c>
      <c r="E45" s="28">
        <f t="shared" si="0"/>
        <v>45876</v>
      </c>
      <c r="F45" s="27" t="str">
        <f ca="1" t="shared" si="1"/>
        <v>Vencido</v>
      </c>
      <c r="G45" s="26" t="s">
        <v>29</v>
      </c>
      <c r="H45" s="29">
        <v>10</v>
      </c>
      <c r="I45" s="26" t="s">
        <v>37</v>
      </c>
      <c r="J45" s="30" t="s">
        <v>33</v>
      </c>
      <c r="K45" s="29"/>
      <c r="L45" s="30" t="s">
        <v>29</v>
      </c>
      <c r="M45" s="31">
        <v>20</v>
      </c>
      <c r="N45" s="31">
        <v>12</v>
      </c>
      <c r="O45" s="29" t="s">
        <v>29</v>
      </c>
      <c r="P45" s="29">
        <f t="shared" si="2"/>
        <v>18</v>
      </c>
    </row>
    <row r="46" s="10" customFormat="1" ht="16.5" customHeight="1" spans="1:16">
      <c r="A46" s="26">
        <v>3275</v>
      </c>
      <c r="B46" s="26" t="s">
        <v>79</v>
      </c>
      <c r="C46" s="26" t="s">
        <v>32</v>
      </c>
      <c r="D46" s="27">
        <v>45757</v>
      </c>
      <c r="E46" s="28">
        <f t="shared" si="0"/>
        <v>45787</v>
      </c>
      <c r="F46" s="27" t="str">
        <f ca="1" t="shared" si="1"/>
        <v>Vencido</v>
      </c>
      <c r="G46" s="26" t="s">
        <v>33</v>
      </c>
      <c r="H46" s="29">
        <v>5</v>
      </c>
      <c r="I46" s="26" t="s">
        <v>30</v>
      </c>
      <c r="J46" s="30" t="s">
        <v>33</v>
      </c>
      <c r="K46" s="29"/>
      <c r="L46" s="30" t="s">
        <v>33</v>
      </c>
      <c r="M46" s="31"/>
      <c r="N46" s="31">
        <v>2</v>
      </c>
      <c r="O46" s="29" t="s">
        <v>29</v>
      </c>
      <c r="P46" s="29">
        <f t="shared" si="2"/>
        <v>3</v>
      </c>
    </row>
    <row r="47" ht="16.5" customHeight="1" spans="1:16">
      <c r="A47" s="26">
        <v>3276</v>
      </c>
      <c r="B47" s="26" t="s">
        <v>80</v>
      </c>
      <c r="C47" s="26" t="s">
        <v>28</v>
      </c>
      <c r="D47" s="27">
        <v>45758</v>
      </c>
      <c r="E47" s="28">
        <f t="shared" si="0"/>
        <v>46118</v>
      </c>
      <c r="F47" s="27" t="str">
        <f ca="1" t="shared" si="1"/>
        <v>Vencido</v>
      </c>
      <c r="G47" s="26" t="s">
        <v>29</v>
      </c>
      <c r="H47" s="29">
        <v>15</v>
      </c>
      <c r="I47" s="26" t="s">
        <v>34</v>
      </c>
      <c r="J47" s="30" t="s">
        <v>29</v>
      </c>
      <c r="K47" s="29">
        <v>30</v>
      </c>
      <c r="L47" s="30" t="s">
        <v>29</v>
      </c>
      <c r="M47" s="31">
        <v>20</v>
      </c>
      <c r="N47" s="31">
        <v>5</v>
      </c>
      <c r="O47" s="29" t="s">
        <v>29</v>
      </c>
      <c r="P47" s="29">
        <f t="shared" si="2"/>
        <v>60</v>
      </c>
    </row>
    <row r="48" s="10" customFormat="1" ht="16.5" customHeight="1" spans="1:16">
      <c r="A48" s="26">
        <v>3277</v>
      </c>
      <c r="B48" s="26" t="s">
        <v>81</v>
      </c>
      <c r="C48" s="26" t="s">
        <v>36</v>
      </c>
      <c r="D48" s="27">
        <v>45759</v>
      </c>
      <c r="E48" s="28">
        <f t="shared" si="0"/>
        <v>45789</v>
      </c>
      <c r="F48" s="27" t="str">
        <f ca="1" t="shared" si="1"/>
        <v>Vencido</v>
      </c>
      <c r="G48" s="26" t="s">
        <v>33</v>
      </c>
      <c r="H48" s="29">
        <v>10</v>
      </c>
      <c r="I48" s="26" t="s">
        <v>30</v>
      </c>
      <c r="J48" s="30" t="s">
        <v>33</v>
      </c>
      <c r="K48" s="29"/>
      <c r="L48" s="30" t="s">
        <v>29</v>
      </c>
      <c r="M48" s="31">
        <v>20</v>
      </c>
      <c r="N48" s="31">
        <v>10</v>
      </c>
      <c r="O48" s="29" t="s">
        <v>29</v>
      </c>
      <c r="P48" s="29">
        <f t="shared" si="2"/>
        <v>20</v>
      </c>
    </row>
    <row r="49" s="10" customFormat="1" ht="16.5" customHeight="1" spans="1:16">
      <c r="A49" s="26">
        <v>3278</v>
      </c>
      <c r="B49" s="26" t="s">
        <v>82</v>
      </c>
      <c r="C49" s="26" t="s">
        <v>32</v>
      </c>
      <c r="D49" s="27">
        <v>45760</v>
      </c>
      <c r="E49" s="28">
        <f t="shared" si="0"/>
        <v>45880</v>
      </c>
      <c r="F49" s="27" t="str">
        <f ca="1" t="shared" si="1"/>
        <v>Vencido</v>
      </c>
      <c r="G49" s="26" t="s">
        <v>29</v>
      </c>
      <c r="H49" s="29">
        <v>5</v>
      </c>
      <c r="I49" s="26" t="s">
        <v>37</v>
      </c>
      <c r="J49" s="30" t="s">
        <v>33</v>
      </c>
      <c r="K49" s="29"/>
      <c r="L49" s="30" t="s">
        <v>33</v>
      </c>
      <c r="M49" s="31"/>
      <c r="N49" s="31">
        <v>0</v>
      </c>
      <c r="O49" s="29" t="s">
        <v>33</v>
      </c>
      <c r="P49" s="29">
        <f t="shared" si="2"/>
        <v>5</v>
      </c>
    </row>
    <row r="50" ht="16.5" customHeight="1" spans="1:16">
      <c r="A50" s="26">
        <v>3279</v>
      </c>
      <c r="B50" s="26" t="s">
        <v>83</v>
      </c>
      <c r="C50" s="26" t="s">
        <v>28</v>
      </c>
      <c r="D50" s="27">
        <v>45761</v>
      </c>
      <c r="E50" s="28">
        <f t="shared" si="0"/>
        <v>45791</v>
      </c>
      <c r="F50" s="27" t="str">
        <f ca="1" t="shared" si="1"/>
        <v>Vencido</v>
      </c>
      <c r="G50" s="26" t="s">
        <v>33</v>
      </c>
      <c r="H50" s="29">
        <v>15</v>
      </c>
      <c r="I50" s="26" t="s">
        <v>30</v>
      </c>
      <c r="J50" s="30" t="s">
        <v>29</v>
      </c>
      <c r="K50" s="29">
        <v>30</v>
      </c>
      <c r="L50" s="30" t="s">
        <v>29</v>
      </c>
      <c r="M50" s="31">
        <v>20</v>
      </c>
      <c r="N50" s="31">
        <v>3</v>
      </c>
      <c r="O50" s="29" t="s">
        <v>29</v>
      </c>
      <c r="P50" s="29">
        <f t="shared" si="2"/>
        <v>62</v>
      </c>
    </row>
    <row r="51" s="10" customFormat="1" ht="16.5" customHeight="1" spans="1:16">
      <c r="A51" s="26">
        <v>3280</v>
      </c>
      <c r="B51" s="26" t="s">
        <v>84</v>
      </c>
      <c r="C51" s="26" t="s">
        <v>36</v>
      </c>
      <c r="D51" s="27">
        <v>45762</v>
      </c>
      <c r="E51" s="28">
        <f t="shared" si="0"/>
        <v>46122</v>
      </c>
      <c r="F51" s="27" t="str">
        <f ca="1" t="shared" si="1"/>
        <v>Vencido</v>
      </c>
      <c r="G51" s="26" t="s">
        <v>29</v>
      </c>
      <c r="H51" s="29">
        <v>10</v>
      </c>
      <c r="I51" s="26" t="s">
        <v>34</v>
      </c>
      <c r="J51" s="30" t="s">
        <v>33</v>
      </c>
      <c r="K51" s="29"/>
      <c r="L51" s="30" t="s">
        <v>29</v>
      </c>
      <c r="M51" s="31">
        <v>20</v>
      </c>
      <c r="N51" s="31">
        <v>15</v>
      </c>
      <c r="O51" s="29" t="s">
        <v>29</v>
      </c>
      <c r="P51" s="29">
        <f t="shared" si="2"/>
        <v>15</v>
      </c>
    </row>
    <row r="52" s="10" customFormat="1" ht="16.5" customHeight="1" spans="1:16">
      <c r="A52" s="26">
        <v>3281</v>
      </c>
      <c r="B52" s="26" t="s">
        <v>85</v>
      </c>
      <c r="C52" s="26" t="s">
        <v>32</v>
      </c>
      <c r="D52" s="27">
        <v>45763</v>
      </c>
      <c r="E52" s="28">
        <f t="shared" si="0"/>
        <v>45793</v>
      </c>
      <c r="F52" s="27" t="str">
        <f ca="1" t="shared" si="1"/>
        <v>Vencido</v>
      </c>
      <c r="G52" s="26" t="s">
        <v>33</v>
      </c>
      <c r="H52" s="29">
        <v>5</v>
      </c>
      <c r="I52" s="26" t="s">
        <v>30</v>
      </c>
      <c r="J52" s="30" t="s">
        <v>33</v>
      </c>
      <c r="K52" s="29"/>
      <c r="L52" s="30" t="s">
        <v>33</v>
      </c>
      <c r="M52" s="31"/>
      <c r="N52" s="31">
        <v>1</v>
      </c>
      <c r="O52" s="29" t="s">
        <v>29</v>
      </c>
      <c r="P52" s="29">
        <f t="shared" si="2"/>
        <v>4</v>
      </c>
    </row>
    <row r="53" ht="16.5" customHeight="1" spans="1:16">
      <c r="A53" s="26">
        <v>3282</v>
      </c>
      <c r="B53" s="26" t="s">
        <v>86</v>
      </c>
      <c r="C53" s="26" t="s">
        <v>28</v>
      </c>
      <c r="D53" s="27">
        <v>45764</v>
      </c>
      <c r="E53" s="28">
        <f t="shared" si="0"/>
        <v>45884</v>
      </c>
      <c r="F53" s="27" t="str">
        <f ca="1" t="shared" si="1"/>
        <v>Vencido</v>
      </c>
      <c r="G53" s="26" t="s">
        <v>29</v>
      </c>
      <c r="H53" s="29">
        <v>15</v>
      </c>
      <c r="I53" s="26" t="s">
        <v>37</v>
      </c>
      <c r="J53" s="30" t="s">
        <v>29</v>
      </c>
      <c r="K53" s="29">
        <v>30</v>
      </c>
      <c r="L53" s="30" t="s">
        <v>29</v>
      </c>
      <c r="M53" s="31">
        <v>20</v>
      </c>
      <c r="N53" s="31">
        <v>7</v>
      </c>
      <c r="O53" s="29" t="s">
        <v>29</v>
      </c>
      <c r="P53" s="29">
        <f t="shared" si="2"/>
        <v>58</v>
      </c>
    </row>
    <row r="54" s="10" customFormat="1" ht="16.5" customHeight="1" spans="1:16">
      <c r="A54" s="26">
        <v>3283</v>
      </c>
      <c r="B54" s="26" t="s">
        <v>87</v>
      </c>
      <c r="C54" s="26" t="s">
        <v>36</v>
      </c>
      <c r="D54" s="27">
        <v>45765</v>
      </c>
      <c r="E54" s="28">
        <f t="shared" si="0"/>
        <v>45795</v>
      </c>
      <c r="F54" s="27" t="str">
        <f ca="1" t="shared" si="1"/>
        <v>Vencido</v>
      </c>
      <c r="G54" s="26" t="s">
        <v>33</v>
      </c>
      <c r="H54" s="29">
        <v>10</v>
      </c>
      <c r="I54" s="26" t="s">
        <v>30</v>
      </c>
      <c r="J54" s="30" t="s">
        <v>33</v>
      </c>
      <c r="K54" s="29"/>
      <c r="L54" s="30" t="s">
        <v>29</v>
      </c>
      <c r="M54" s="31">
        <v>20</v>
      </c>
      <c r="N54" s="31">
        <v>10</v>
      </c>
      <c r="O54" s="29" t="s">
        <v>29</v>
      </c>
      <c r="P54" s="29">
        <f t="shared" si="2"/>
        <v>20</v>
      </c>
    </row>
    <row r="55" s="10" customFormat="1" ht="16.5" customHeight="1" spans="1:16">
      <c r="A55" s="26">
        <v>3284</v>
      </c>
      <c r="B55" s="26" t="s">
        <v>88</v>
      </c>
      <c r="C55" s="26" t="s">
        <v>32</v>
      </c>
      <c r="D55" s="27">
        <v>45766</v>
      </c>
      <c r="E55" s="28">
        <f t="shared" si="0"/>
        <v>46126</v>
      </c>
      <c r="F55" s="27" t="str">
        <f ca="1" t="shared" si="1"/>
        <v>Vencido</v>
      </c>
      <c r="G55" s="26" t="s">
        <v>29</v>
      </c>
      <c r="H55" s="29">
        <v>5</v>
      </c>
      <c r="I55" s="26" t="s">
        <v>34</v>
      </c>
      <c r="J55" s="30" t="s">
        <v>33</v>
      </c>
      <c r="K55" s="29"/>
      <c r="L55" s="30" t="s">
        <v>33</v>
      </c>
      <c r="M55" s="31"/>
      <c r="N55" s="31">
        <v>0</v>
      </c>
      <c r="O55" s="29" t="s">
        <v>33</v>
      </c>
      <c r="P55" s="29">
        <f t="shared" si="2"/>
        <v>5</v>
      </c>
    </row>
    <row r="56" ht="16.5" customHeight="1" spans="1:16">
      <c r="A56" s="26">
        <v>3285</v>
      </c>
      <c r="B56" s="26" t="s">
        <v>89</v>
      </c>
      <c r="C56" s="26" t="s">
        <v>28</v>
      </c>
      <c r="D56" s="27">
        <v>45767</v>
      </c>
      <c r="E56" s="28">
        <f t="shared" si="0"/>
        <v>45797</v>
      </c>
      <c r="F56" s="27" t="str">
        <f ca="1" t="shared" si="1"/>
        <v>Vencido</v>
      </c>
      <c r="G56" s="26" t="s">
        <v>33</v>
      </c>
      <c r="H56" s="29">
        <v>15</v>
      </c>
      <c r="I56" s="26" t="s">
        <v>30</v>
      </c>
      <c r="J56" s="30" t="s">
        <v>29</v>
      </c>
      <c r="K56" s="29">
        <v>30</v>
      </c>
      <c r="L56" s="30" t="s">
        <v>29</v>
      </c>
      <c r="M56" s="31">
        <v>20</v>
      </c>
      <c r="N56" s="31">
        <v>20</v>
      </c>
      <c r="O56" s="29" t="s">
        <v>29</v>
      </c>
      <c r="P56" s="29">
        <f t="shared" si="2"/>
        <v>45</v>
      </c>
    </row>
    <row r="57" s="10" customFormat="1" ht="16.5" customHeight="1" spans="1:16">
      <c r="A57" s="26">
        <v>3286</v>
      </c>
      <c r="B57" s="26" t="s">
        <v>90</v>
      </c>
      <c r="C57" s="26" t="s">
        <v>36</v>
      </c>
      <c r="D57" s="27">
        <v>45768</v>
      </c>
      <c r="E57" s="28">
        <f t="shared" si="0"/>
        <v>45888</v>
      </c>
      <c r="F57" s="27" t="str">
        <f ca="1" t="shared" si="1"/>
        <v>Vencido</v>
      </c>
      <c r="G57" s="26" t="s">
        <v>29</v>
      </c>
      <c r="H57" s="29">
        <v>10</v>
      </c>
      <c r="I57" s="26" t="s">
        <v>37</v>
      </c>
      <c r="J57" s="30" t="s">
        <v>33</v>
      </c>
      <c r="K57" s="29"/>
      <c r="L57" s="30" t="s">
        <v>29</v>
      </c>
      <c r="M57" s="31">
        <v>20</v>
      </c>
      <c r="N57" s="31">
        <v>15</v>
      </c>
      <c r="O57" s="29" t="s">
        <v>29</v>
      </c>
      <c r="P57" s="29">
        <f t="shared" si="2"/>
        <v>15</v>
      </c>
    </row>
    <row r="58" s="10" customFormat="1" ht="16.5" customHeight="1" spans="1:16">
      <c r="A58" s="26">
        <v>3287</v>
      </c>
      <c r="B58" s="26" t="s">
        <v>91</v>
      </c>
      <c r="C58" s="26" t="s">
        <v>32</v>
      </c>
      <c r="D58" s="27">
        <v>45769</v>
      </c>
      <c r="E58" s="28">
        <f t="shared" si="0"/>
        <v>45799</v>
      </c>
      <c r="F58" s="27" t="str">
        <f ca="1" t="shared" si="1"/>
        <v>Vencido</v>
      </c>
      <c r="G58" s="26" t="s">
        <v>33</v>
      </c>
      <c r="H58" s="29">
        <v>5</v>
      </c>
      <c r="I58" s="26" t="s">
        <v>30</v>
      </c>
      <c r="J58" s="30" t="s">
        <v>33</v>
      </c>
      <c r="K58" s="29"/>
      <c r="L58" s="30" t="s">
        <v>33</v>
      </c>
      <c r="M58" s="31"/>
      <c r="N58" s="31">
        <v>1</v>
      </c>
      <c r="O58" s="29" t="s">
        <v>29</v>
      </c>
      <c r="P58" s="29">
        <f t="shared" si="2"/>
        <v>4</v>
      </c>
    </row>
    <row r="59" ht="16.5" customHeight="1" spans="1:16">
      <c r="A59" s="26">
        <v>3288</v>
      </c>
      <c r="B59" s="26" t="s">
        <v>92</v>
      </c>
      <c r="C59" s="26" t="s">
        <v>28</v>
      </c>
      <c r="D59" s="27">
        <v>45770</v>
      </c>
      <c r="E59" s="28">
        <f t="shared" si="0"/>
        <v>46130</v>
      </c>
      <c r="F59" s="27" t="str">
        <f ca="1" t="shared" si="1"/>
        <v>Vencido</v>
      </c>
      <c r="G59" s="26" t="s">
        <v>29</v>
      </c>
      <c r="H59" s="29">
        <v>15</v>
      </c>
      <c r="I59" s="26" t="s">
        <v>34</v>
      </c>
      <c r="J59" s="30" t="s">
        <v>29</v>
      </c>
      <c r="K59" s="29">
        <v>30</v>
      </c>
      <c r="L59" s="30" t="s">
        <v>29</v>
      </c>
      <c r="M59" s="31">
        <v>20</v>
      </c>
      <c r="N59" s="31">
        <v>3</v>
      </c>
      <c r="O59" s="29" t="s">
        <v>29</v>
      </c>
      <c r="P59" s="29">
        <f t="shared" si="2"/>
        <v>62</v>
      </c>
    </row>
    <row r="60" s="10" customFormat="1" ht="16.5" customHeight="1" spans="1:16">
      <c r="A60" s="26">
        <v>3289</v>
      </c>
      <c r="B60" s="26" t="s">
        <v>93</v>
      </c>
      <c r="C60" s="26" t="s">
        <v>36</v>
      </c>
      <c r="D60" s="27">
        <v>45771</v>
      </c>
      <c r="E60" s="28">
        <f t="shared" si="0"/>
        <v>45801</v>
      </c>
      <c r="F60" s="27" t="str">
        <f ca="1" t="shared" si="1"/>
        <v>Vencido</v>
      </c>
      <c r="G60" s="26" t="s">
        <v>33</v>
      </c>
      <c r="H60" s="29">
        <v>10</v>
      </c>
      <c r="I60" s="26" t="s">
        <v>30</v>
      </c>
      <c r="J60" s="30" t="s">
        <v>33</v>
      </c>
      <c r="K60" s="29"/>
      <c r="L60" s="30" t="s">
        <v>29</v>
      </c>
      <c r="M60" s="31">
        <v>20</v>
      </c>
      <c r="N60" s="31">
        <v>10</v>
      </c>
      <c r="O60" s="29" t="s">
        <v>29</v>
      </c>
      <c r="P60" s="29">
        <f t="shared" si="2"/>
        <v>20</v>
      </c>
    </row>
    <row r="61" s="10" customFormat="1" ht="16.5" customHeight="1" spans="1:16">
      <c r="A61" s="26">
        <v>3290</v>
      </c>
      <c r="B61" s="26" t="s">
        <v>94</v>
      </c>
      <c r="C61" s="26" t="s">
        <v>32</v>
      </c>
      <c r="D61" s="27">
        <v>45772</v>
      </c>
      <c r="E61" s="28">
        <f t="shared" si="0"/>
        <v>45892</v>
      </c>
      <c r="F61" s="27" t="str">
        <f ca="1" t="shared" si="1"/>
        <v>Vencido</v>
      </c>
      <c r="G61" s="26" t="s">
        <v>29</v>
      </c>
      <c r="H61" s="29">
        <v>5</v>
      </c>
      <c r="I61" s="26" t="s">
        <v>37</v>
      </c>
      <c r="J61" s="30" t="s">
        <v>33</v>
      </c>
      <c r="K61" s="29"/>
      <c r="L61" s="30" t="s">
        <v>33</v>
      </c>
      <c r="M61" s="31"/>
      <c r="N61" s="31">
        <v>0</v>
      </c>
      <c r="O61" s="29" t="s">
        <v>33</v>
      </c>
      <c r="P61" s="29">
        <f t="shared" si="2"/>
        <v>5</v>
      </c>
    </row>
    <row r="62" ht="16.5" customHeight="1" spans="1:16">
      <c r="A62" s="26">
        <v>3291</v>
      </c>
      <c r="B62" s="26" t="s">
        <v>95</v>
      </c>
      <c r="C62" s="26" t="s">
        <v>28</v>
      </c>
      <c r="D62" s="27">
        <v>45773</v>
      </c>
      <c r="E62" s="28">
        <f t="shared" si="0"/>
        <v>45803</v>
      </c>
      <c r="F62" s="27" t="str">
        <f ca="1" t="shared" si="1"/>
        <v>Vencido</v>
      </c>
      <c r="G62" s="26" t="s">
        <v>33</v>
      </c>
      <c r="H62" s="29">
        <v>15</v>
      </c>
      <c r="I62" s="26" t="s">
        <v>30</v>
      </c>
      <c r="J62" s="30" t="s">
        <v>29</v>
      </c>
      <c r="K62" s="29">
        <v>30</v>
      </c>
      <c r="L62" s="30" t="s">
        <v>29</v>
      </c>
      <c r="M62" s="31">
        <v>20</v>
      </c>
      <c r="N62" s="31">
        <v>5</v>
      </c>
      <c r="O62" s="29" t="s">
        <v>29</v>
      </c>
      <c r="P62" s="29">
        <f t="shared" si="2"/>
        <v>60</v>
      </c>
    </row>
    <row r="63" s="10" customFormat="1" ht="16.5" customHeight="1" spans="1:16">
      <c r="A63" s="26">
        <v>3292</v>
      </c>
      <c r="B63" s="26" t="s">
        <v>96</v>
      </c>
      <c r="C63" s="26" t="s">
        <v>36</v>
      </c>
      <c r="D63" s="27">
        <v>45774</v>
      </c>
      <c r="E63" s="28">
        <f t="shared" si="0"/>
        <v>46134</v>
      </c>
      <c r="F63" s="27" t="str">
        <f ca="1" t="shared" si="1"/>
        <v>Vencido</v>
      </c>
      <c r="G63" s="26" t="s">
        <v>29</v>
      </c>
      <c r="H63" s="29">
        <v>10</v>
      </c>
      <c r="I63" s="26" t="s">
        <v>34</v>
      </c>
      <c r="J63" s="30" t="s">
        <v>33</v>
      </c>
      <c r="K63" s="29"/>
      <c r="L63" s="30" t="s">
        <v>29</v>
      </c>
      <c r="M63" s="31">
        <v>20</v>
      </c>
      <c r="N63" s="31">
        <v>15</v>
      </c>
      <c r="O63" s="29" t="s">
        <v>29</v>
      </c>
      <c r="P63" s="29">
        <f t="shared" si="2"/>
        <v>15</v>
      </c>
    </row>
    <row r="64" s="10" customFormat="1" ht="16.5" customHeight="1" spans="1:16">
      <c r="A64" s="26">
        <v>3293</v>
      </c>
      <c r="B64" s="26" t="s">
        <v>97</v>
      </c>
      <c r="C64" s="26" t="s">
        <v>32</v>
      </c>
      <c r="D64" s="27">
        <v>45775</v>
      </c>
      <c r="E64" s="28">
        <f t="shared" si="0"/>
        <v>45805</v>
      </c>
      <c r="F64" s="27" t="str">
        <f ca="1" t="shared" si="1"/>
        <v>Vencido</v>
      </c>
      <c r="G64" s="26" t="s">
        <v>33</v>
      </c>
      <c r="H64" s="29">
        <v>5</v>
      </c>
      <c r="I64" s="26" t="s">
        <v>30</v>
      </c>
      <c r="J64" s="30" t="s">
        <v>33</v>
      </c>
      <c r="K64" s="29"/>
      <c r="L64" s="30" t="s">
        <v>33</v>
      </c>
      <c r="M64" s="31"/>
      <c r="N64" s="31">
        <v>1</v>
      </c>
      <c r="O64" s="29" t="s">
        <v>29</v>
      </c>
      <c r="P64" s="29">
        <f t="shared" si="2"/>
        <v>4</v>
      </c>
    </row>
    <row r="65" ht="16.5" customHeight="1" spans="1:16">
      <c r="A65" s="26">
        <v>3294</v>
      </c>
      <c r="B65" s="26" t="s">
        <v>98</v>
      </c>
      <c r="C65" s="26" t="s">
        <v>28</v>
      </c>
      <c r="D65" s="27">
        <v>45776</v>
      </c>
      <c r="E65" s="28">
        <f t="shared" si="0"/>
        <v>45896</v>
      </c>
      <c r="F65" s="27" t="str">
        <f ca="1" t="shared" si="1"/>
        <v>Vencido</v>
      </c>
      <c r="G65" s="26" t="s">
        <v>29</v>
      </c>
      <c r="H65" s="29">
        <v>15</v>
      </c>
      <c r="I65" s="26" t="s">
        <v>37</v>
      </c>
      <c r="J65" s="30" t="s">
        <v>29</v>
      </c>
      <c r="K65" s="29">
        <v>30</v>
      </c>
      <c r="L65" s="30" t="s">
        <v>29</v>
      </c>
      <c r="M65" s="31">
        <v>20</v>
      </c>
      <c r="N65" s="31">
        <v>20</v>
      </c>
      <c r="O65" s="29" t="s">
        <v>29</v>
      </c>
      <c r="P65" s="29">
        <f t="shared" si="2"/>
        <v>45</v>
      </c>
    </row>
    <row r="66" s="10" customFormat="1" ht="16.5" customHeight="1" spans="1:16">
      <c r="A66" s="26">
        <v>3295</v>
      </c>
      <c r="B66" s="26" t="s">
        <v>99</v>
      </c>
      <c r="C66" s="26" t="s">
        <v>36</v>
      </c>
      <c r="D66" s="27">
        <v>45777</v>
      </c>
      <c r="E66" s="28">
        <f t="shared" ref="E66:E129" si="3">IF(I66="Monthly",(D66+30),IF(I66="Annual",(D66+360),D66+120))</f>
        <v>45807</v>
      </c>
      <c r="F66" s="27" t="str">
        <f ca="1" t="shared" ref="F66:F129" si="4">IF(TODAY()&lt;E66,"A vencer","Vencido")</f>
        <v>Vencido</v>
      </c>
      <c r="G66" s="26" t="s">
        <v>33</v>
      </c>
      <c r="H66" s="29">
        <v>10</v>
      </c>
      <c r="I66" s="26" t="s">
        <v>30</v>
      </c>
      <c r="J66" s="30" t="s">
        <v>33</v>
      </c>
      <c r="K66" s="29"/>
      <c r="L66" s="30" t="s">
        <v>29</v>
      </c>
      <c r="M66" s="31">
        <v>20</v>
      </c>
      <c r="N66" s="31">
        <v>5</v>
      </c>
      <c r="O66" s="29" t="s">
        <v>29</v>
      </c>
      <c r="P66" s="29">
        <f t="shared" si="2"/>
        <v>25</v>
      </c>
    </row>
    <row r="67" s="10" customFormat="1" ht="16.5" customHeight="1" spans="1:16">
      <c r="A67" s="26">
        <v>3296</v>
      </c>
      <c r="B67" s="26" t="s">
        <v>100</v>
      </c>
      <c r="C67" s="26" t="s">
        <v>32</v>
      </c>
      <c r="D67" s="27">
        <v>45778</v>
      </c>
      <c r="E67" s="28">
        <f t="shared" si="3"/>
        <v>45808</v>
      </c>
      <c r="F67" s="27" t="str">
        <f ca="1" t="shared" si="4"/>
        <v>Vencido</v>
      </c>
      <c r="G67" s="26" t="s">
        <v>33</v>
      </c>
      <c r="H67" s="29">
        <v>5</v>
      </c>
      <c r="I67" s="26" t="s">
        <v>30</v>
      </c>
      <c r="J67" s="30" t="s">
        <v>33</v>
      </c>
      <c r="K67" s="29"/>
      <c r="L67" s="30" t="s">
        <v>33</v>
      </c>
      <c r="M67" s="31"/>
      <c r="N67" s="31">
        <v>0</v>
      </c>
      <c r="O67" s="29" t="s">
        <v>33</v>
      </c>
      <c r="P67" s="29">
        <f t="shared" ref="P67:P130" si="5">(H67+K67+M67)-N67</f>
        <v>5</v>
      </c>
    </row>
    <row r="68" ht="16.5" customHeight="1" spans="1:16">
      <c r="A68" s="26">
        <v>3297</v>
      </c>
      <c r="B68" s="26" t="s">
        <v>101</v>
      </c>
      <c r="C68" s="26" t="s">
        <v>28</v>
      </c>
      <c r="D68" s="27">
        <v>45779</v>
      </c>
      <c r="E68" s="28">
        <f t="shared" si="3"/>
        <v>45899</v>
      </c>
      <c r="F68" s="27" t="str">
        <f ca="1" t="shared" si="4"/>
        <v>Vencido</v>
      </c>
      <c r="G68" s="26" t="s">
        <v>29</v>
      </c>
      <c r="H68" s="29">
        <v>15</v>
      </c>
      <c r="I68" s="26" t="s">
        <v>37</v>
      </c>
      <c r="J68" s="30" t="s">
        <v>29</v>
      </c>
      <c r="K68" s="29">
        <v>30</v>
      </c>
      <c r="L68" s="30" t="s">
        <v>29</v>
      </c>
      <c r="M68" s="31">
        <v>20</v>
      </c>
      <c r="N68" s="31">
        <v>7</v>
      </c>
      <c r="O68" s="29" t="s">
        <v>29</v>
      </c>
      <c r="P68" s="29">
        <f t="shared" si="5"/>
        <v>58</v>
      </c>
    </row>
    <row r="69" s="10" customFormat="1" ht="16.5" customHeight="1" spans="1:16">
      <c r="A69" s="26">
        <v>3298</v>
      </c>
      <c r="B69" s="26" t="s">
        <v>102</v>
      </c>
      <c r="C69" s="26" t="s">
        <v>36</v>
      </c>
      <c r="D69" s="27">
        <v>45780</v>
      </c>
      <c r="E69" s="28">
        <f t="shared" si="3"/>
        <v>46140</v>
      </c>
      <c r="F69" s="27" t="str">
        <f ca="1" t="shared" si="4"/>
        <v>Vencido</v>
      </c>
      <c r="G69" s="26" t="s">
        <v>33</v>
      </c>
      <c r="H69" s="29">
        <v>10</v>
      </c>
      <c r="I69" s="26" t="s">
        <v>34</v>
      </c>
      <c r="J69" s="30" t="s">
        <v>33</v>
      </c>
      <c r="K69" s="29"/>
      <c r="L69" s="30" t="s">
        <v>29</v>
      </c>
      <c r="M69" s="31">
        <v>20</v>
      </c>
      <c r="N69" s="31">
        <v>10</v>
      </c>
      <c r="O69" s="29" t="s">
        <v>29</v>
      </c>
      <c r="P69" s="29">
        <f t="shared" si="5"/>
        <v>20</v>
      </c>
    </row>
    <row r="70" s="10" customFormat="1" ht="16.5" customHeight="1" spans="1:16">
      <c r="A70" s="26">
        <v>3299</v>
      </c>
      <c r="B70" s="26" t="s">
        <v>103</v>
      </c>
      <c r="C70" s="26" t="s">
        <v>32</v>
      </c>
      <c r="D70" s="27">
        <v>45781</v>
      </c>
      <c r="E70" s="28">
        <f t="shared" si="3"/>
        <v>45901</v>
      </c>
      <c r="F70" s="27" t="str">
        <f ca="1" t="shared" si="4"/>
        <v>Vencido</v>
      </c>
      <c r="G70" s="26" t="s">
        <v>29</v>
      </c>
      <c r="H70" s="29">
        <v>5</v>
      </c>
      <c r="I70" s="26" t="s">
        <v>37</v>
      </c>
      <c r="J70" s="30" t="s">
        <v>33</v>
      </c>
      <c r="K70" s="29"/>
      <c r="L70" s="30" t="s">
        <v>33</v>
      </c>
      <c r="M70" s="31"/>
      <c r="N70" s="31">
        <v>1</v>
      </c>
      <c r="O70" s="29" t="s">
        <v>29</v>
      </c>
      <c r="P70" s="29">
        <f t="shared" si="5"/>
        <v>4</v>
      </c>
    </row>
    <row r="71" ht="16.5" customHeight="1" spans="1:16">
      <c r="A71" s="26">
        <v>3300</v>
      </c>
      <c r="B71" s="26" t="s">
        <v>104</v>
      </c>
      <c r="C71" s="26" t="s">
        <v>28</v>
      </c>
      <c r="D71" s="27">
        <v>45782</v>
      </c>
      <c r="E71" s="28">
        <f t="shared" si="3"/>
        <v>45812</v>
      </c>
      <c r="F71" s="27" t="str">
        <f ca="1" t="shared" si="4"/>
        <v>Vencido</v>
      </c>
      <c r="G71" s="26" t="s">
        <v>33</v>
      </c>
      <c r="H71" s="29">
        <v>15</v>
      </c>
      <c r="I71" s="26" t="s">
        <v>30</v>
      </c>
      <c r="J71" s="30" t="s">
        <v>29</v>
      </c>
      <c r="K71" s="29">
        <v>30</v>
      </c>
      <c r="L71" s="30" t="s">
        <v>29</v>
      </c>
      <c r="M71" s="31">
        <v>20</v>
      </c>
      <c r="N71" s="31">
        <v>15</v>
      </c>
      <c r="O71" s="29" t="s">
        <v>29</v>
      </c>
      <c r="P71" s="29">
        <f t="shared" si="5"/>
        <v>50</v>
      </c>
    </row>
    <row r="72" s="10" customFormat="1" ht="16.5" customHeight="1" spans="1:16">
      <c r="A72" s="26">
        <v>3301</v>
      </c>
      <c r="B72" s="26" t="s">
        <v>105</v>
      </c>
      <c r="C72" s="26" t="s">
        <v>36</v>
      </c>
      <c r="D72" s="27">
        <v>45783</v>
      </c>
      <c r="E72" s="28">
        <f t="shared" si="3"/>
        <v>45813</v>
      </c>
      <c r="F72" s="27" t="str">
        <f ca="1" t="shared" si="4"/>
        <v>Vencido</v>
      </c>
      <c r="G72" s="26" t="s">
        <v>29</v>
      </c>
      <c r="H72" s="29">
        <v>10</v>
      </c>
      <c r="I72" s="26" t="s">
        <v>30</v>
      </c>
      <c r="J72" s="30" t="s">
        <v>33</v>
      </c>
      <c r="K72" s="29"/>
      <c r="L72" s="30" t="s">
        <v>29</v>
      </c>
      <c r="M72" s="31">
        <v>20</v>
      </c>
      <c r="N72" s="31">
        <v>5</v>
      </c>
      <c r="O72" s="29" t="s">
        <v>29</v>
      </c>
      <c r="P72" s="29">
        <f t="shared" si="5"/>
        <v>25</v>
      </c>
    </row>
    <row r="73" s="10" customFormat="1" ht="16.5" customHeight="1" spans="1:16">
      <c r="A73" s="26">
        <v>3302</v>
      </c>
      <c r="B73" s="26" t="s">
        <v>106</v>
      </c>
      <c r="C73" s="26" t="s">
        <v>32</v>
      </c>
      <c r="D73" s="27">
        <v>45784</v>
      </c>
      <c r="E73" s="28">
        <f t="shared" si="3"/>
        <v>46144</v>
      </c>
      <c r="F73" s="27" t="str">
        <f ca="1" t="shared" si="4"/>
        <v>Vencido</v>
      </c>
      <c r="G73" s="26" t="s">
        <v>33</v>
      </c>
      <c r="H73" s="29">
        <v>5</v>
      </c>
      <c r="I73" s="26" t="s">
        <v>34</v>
      </c>
      <c r="J73" s="30" t="s">
        <v>33</v>
      </c>
      <c r="K73" s="29"/>
      <c r="L73" s="30" t="s">
        <v>33</v>
      </c>
      <c r="M73" s="31"/>
      <c r="N73" s="31">
        <v>0</v>
      </c>
      <c r="O73" s="29" t="s">
        <v>33</v>
      </c>
      <c r="P73" s="29">
        <f t="shared" si="5"/>
        <v>5</v>
      </c>
    </row>
    <row r="74" ht="16.5" customHeight="1" spans="1:16">
      <c r="A74" s="26">
        <v>3303</v>
      </c>
      <c r="B74" s="26" t="s">
        <v>107</v>
      </c>
      <c r="C74" s="26" t="s">
        <v>28</v>
      </c>
      <c r="D74" s="27">
        <v>45785</v>
      </c>
      <c r="E74" s="28">
        <f t="shared" si="3"/>
        <v>45905</v>
      </c>
      <c r="F74" s="27" t="str">
        <f ca="1" t="shared" si="4"/>
        <v>Vencido</v>
      </c>
      <c r="G74" s="26" t="s">
        <v>29</v>
      </c>
      <c r="H74" s="29">
        <v>15</v>
      </c>
      <c r="I74" s="26" t="s">
        <v>37</v>
      </c>
      <c r="J74" s="30" t="s">
        <v>29</v>
      </c>
      <c r="K74" s="29">
        <v>30</v>
      </c>
      <c r="L74" s="30" t="s">
        <v>29</v>
      </c>
      <c r="M74" s="31">
        <v>20</v>
      </c>
      <c r="N74" s="31">
        <v>20</v>
      </c>
      <c r="O74" s="29" t="s">
        <v>29</v>
      </c>
      <c r="P74" s="29">
        <f t="shared" si="5"/>
        <v>45</v>
      </c>
    </row>
    <row r="75" s="10" customFormat="1" ht="16.5" customHeight="1" spans="1:16">
      <c r="A75" s="26">
        <v>3304</v>
      </c>
      <c r="B75" s="26" t="s">
        <v>108</v>
      </c>
      <c r="C75" s="26" t="s">
        <v>36</v>
      </c>
      <c r="D75" s="27">
        <v>45786</v>
      </c>
      <c r="E75" s="28">
        <f t="shared" si="3"/>
        <v>45906</v>
      </c>
      <c r="F75" s="27" t="str">
        <f ca="1" t="shared" si="4"/>
        <v>Vencido</v>
      </c>
      <c r="G75" s="26" t="s">
        <v>33</v>
      </c>
      <c r="H75" s="29">
        <v>10</v>
      </c>
      <c r="I75" s="26" t="s">
        <v>37</v>
      </c>
      <c r="J75" s="30" t="s">
        <v>33</v>
      </c>
      <c r="K75" s="29"/>
      <c r="L75" s="30" t="s">
        <v>29</v>
      </c>
      <c r="M75" s="31">
        <v>20</v>
      </c>
      <c r="N75" s="31">
        <v>12</v>
      </c>
      <c r="O75" s="29" t="s">
        <v>29</v>
      </c>
      <c r="P75" s="29">
        <f t="shared" si="5"/>
        <v>18</v>
      </c>
    </row>
    <row r="76" s="10" customFormat="1" ht="16.5" customHeight="1" spans="1:16">
      <c r="A76" s="26">
        <v>3305</v>
      </c>
      <c r="B76" s="26" t="s">
        <v>109</v>
      </c>
      <c r="C76" s="26" t="s">
        <v>32</v>
      </c>
      <c r="D76" s="27">
        <v>45787</v>
      </c>
      <c r="E76" s="28">
        <f t="shared" si="3"/>
        <v>45817</v>
      </c>
      <c r="F76" s="27" t="str">
        <f ca="1" t="shared" si="4"/>
        <v>Vencido</v>
      </c>
      <c r="G76" s="26" t="s">
        <v>29</v>
      </c>
      <c r="H76" s="29">
        <v>5</v>
      </c>
      <c r="I76" s="26" t="s">
        <v>30</v>
      </c>
      <c r="J76" s="30" t="s">
        <v>33</v>
      </c>
      <c r="K76" s="29"/>
      <c r="L76" s="30" t="s">
        <v>33</v>
      </c>
      <c r="M76" s="31"/>
      <c r="N76" s="31">
        <v>2</v>
      </c>
      <c r="O76" s="29" t="s">
        <v>29</v>
      </c>
      <c r="P76" s="29">
        <f t="shared" si="5"/>
        <v>3</v>
      </c>
    </row>
    <row r="77" ht="16.5" customHeight="1" spans="1:16">
      <c r="A77" s="26">
        <v>3306</v>
      </c>
      <c r="B77" s="26" t="s">
        <v>110</v>
      </c>
      <c r="C77" s="26" t="s">
        <v>28</v>
      </c>
      <c r="D77" s="27">
        <v>45788</v>
      </c>
      <c r="E77" s="28">
        <f t="shared" si="3"/>
        <v>46148</v>
      </c>
      <c r="F77" s="27" t="str">
        <f ca="1" t="shared" si="4"/>
        <v>Vencido</v>
      </c>
      <c r="G77" s="26" t="s">
        <v>33</v>
      </c>
      <c r="H77" s="29">
        <v>15</v>
      </c>
      <c r="I77" s="26" t="s">
        <v>34</v>
      </c>
      <c r="J77" s="30" t="s">
        <v>29</v>
      </c>
      <c r="K77" s="29">
        <v>30</v>
      </c>
      <c r="L77" s="30" t="s">
        <v>29</v>
      </c>
      <c r="M77" s="31">
        <v>20</v>
      </c>
      <c r="N77" s="31">
        <v>5</v>
      </c>
      <c r="O77" s="29" t="s">
        <v>29</v>
      </c>
      <c r="P77" s="29">
        <f t="shared" si="5"/>
        <v>60</v>
      </c>
    </row>
    <row r="78" s="10" customFormat="1" ht="16.5" customHeight="1" spans="1:16">
      <c r="A78" s="26">
        <v>3307</v>
      </c>
      <c r="B78" s="26" t="s">
        <v>111</v>
      </c>
      <c r="C78" s="26" t="s">
        <v>36</v>
      </c>
      <c r="D78" s="27">
        <v>45789</v>
      </c>
      <c r="E78" s="28">
        <f t="shared" si="3"/>
        <v>45819</v>
      </c>
      <c r="F78" s="27" t="str">
        <f ca="1" t="shared" si="4"/>
        <v>Vencido</v>
      </c>
      <c r="G78" s="26" t="s">
        <v>29</v>
      </c>
      <c r="H78" s="29">
        <v>10</v>
      </c>
      <c r="I78" s="26" t="s">
        <v>30</v>
      </c>
      <c r="J78" s="30" t="s">
        <v>33</v>
      </c>
      <c r="K78" s="29"/>
      <c r="L78" s="30" t="s">
        <v>29</v>
      </c>
      <c r="M78" s="31">
        <v>20</v>
      </c>
      <c r="N78" s="31">
        <v>10</v>
      </c>
      <c r="O78" s="29" t="s">
        <v>29</v>
      </c>
      <c r="P78" s="29">
        <f t="shared" si="5"/>
        <v>20</v>
      </c>
    </row>
    <row r="79" s="10" customFormat="1" ht="16.5" customHeight="1" spans="1:16">
      <c r="A79" s="26">
        <v>3308</v>
      </c>
      <c r="B79" s="26" t="s">
        <v>112</v>
      </c>
      <c r="C79" s="26" t="s">
        <v>32</v>
      </c>
      <c r="D79" s="27">
        <v>45790</v>
      </c>
      <c r="E79" s="28">
        <f t="shared" si="3"/>
        <v>45910</v>
      </c>
      <c r="F79" s="27" t="str">
        <f ca="1" t="shared" si="4"/>
        <v>Vencido</v>
      </c>
      <c r="G79" s="26" t="s">
        <v>33</v>
      </c>
      <c r="H79" s="29">
        <v>5</v>
      </c>
      <c r="I79" s="26" t="s">
        <v>37</v>
      </c>
      <c r="J79" s="30" t="s">
        <v>33</v>
      </c>
      <c r="K79" s="29"/>
      <c r="L79" s="30" t="s">
        <v>33</v>
      </c>
      <c r="M79" s="31"/>
      <c r="N79" s="31">
        <v>0</v>
      </c>
      <c r="O79" s="29" t="s">
        <v>33</v>
      </c>
      <c r="P79" s="29">
        <f t="shared" si="5"/>
        <v>5</v>
      </c>
    </row>
    <row r="80" ht="16.5" customHeight="1" spans="1:16">
      <c r="A80" s="26">
        <v>3309</v>
      </c>
      <c r="B80" s="26" t="s">
        <v>113</v>
      </c>
      <c r="C80" s="26" t="s">
        <v>28</v>
      </c>
      <c r="D80" s="27">
        <v>45791</v>
      </c>
      <c r="E80" s="28">
        <f t="shared" si="3"/>
        <v>45821</v>
      </c>
      <c r="F80" s="27" t="str">
        <f ca="1" t="shared" si="4"/>
        <v>Vencido</v>
      </c>
      <c r="G80" s="26" t="s">
        <v>29</v>
      </c>
      <c r="H80" s="29">
        <v>15</v>
      </c>
      <c r="I80" s="26" t="s">
        <v>30</v>
      </c>
      <c r="J80" s="30" t="s">
        <v>29</v>
      </c>
      <c r="K80" s="29">
        <v>30</v>
      </c>
      <c r="L80" s="30" t="s">
        <v>29</v>
      </c>
      <c r="M80" s="31">
        <v>20</v>
      </c>
      <c r="N80" s="31">
        <v>3</v>
      </c>
      <c r="O80" s="29" t="s">
        <v>29</v>
      </c>
      <c r="P80" s="29">
        <f t="shared" si="5"/>
        <v>62</v>
      </c>
    </row>
    <row r="81" s="10" customFormat="1" ht="16.5" customHeight="1" spans="1:16">
      <c r="A81" s="26">
        <v>3310</v>
      </c>
      <c r="B81" s="26" t="s">
        <v>114</v>
      </c>
      <c r="C81" s="26" t="s">
        <v>36</v>
      </c>
      <c r="D81" s="27">
        <v>45792</v>
      </c>
      <c r="E81" s="28">
        <f t="shared" si="3"/>
        <v>46152</v>
      </c>
      <c r="F81" s="27" t="str">
        <f ca="1" t="shared" si="4"/>
        <v>Vencido</v>
      </c>
      <c r="G81" s="26" t="s">
        <v>33</v>
      </c>
      <c r="H81" s="29">
        <v>10</v>
      </c>
      <c r="I81" s="26" t="s">
        <v>34</v>
      </c>
      <c r="J81" s="30" t="s">
        <v>33</v>
      </c>
      <c r="K81" s="29"/>
      <c r="L81" s="30" t="s">
        <v>29</v>
      </c>
      <c r="M81" s="31">
        <v>20</v>
      </c>
      <c r="N81" s="31">
        <v>15</v>
      </c>
      <c r="O81" s="29" t="s">
        <v>29</v>
      </c>
      <c r="P81" s="29">
        <f t="shared" si="5"/>
        <v>15</v>
      </c>
    </row>
    <row r="82" s="10" customFormat="1" ht="16.5" customHeight="1" spans="1:16">
      <c r="A82" s="26">
        <v>3311</v>
      </c>
      <c r="B82" s="26" t="s">
        <v>115</v>
      </c>
      <c r="C82" s="26" t="s">
        <v>32</v>
      </c>
      <c r="D82" s="27">
        <v>45793</v>
      </c>
      <c r="E82" s="28">
        <f t="shared" si="3"/>
        <v>45823</v>
      </c>
      <c r="F82" s="27" t="str">
        <f ca="1" t="shared" si="4"/>
        <v>Vencido</v>
      </c>
      <c r="G82" s="26" t="s">
        <v>29</v>
      </c>
      <c r="H82" s="29">
        <v>5</v>
      </c>
      <c r="I82" s="26" t="s">
        <v>30</v>
      </c>
      <c r="J82" s="30" t="s">
        <v>33</v>
      </c>
      <c r="K82" s="29"/>
      <c r="L82" s="30" t="s">
        <v>33</v>
      </c>
      <c r="M82" s="31"/>
      <c r="N82" s="31">
        <v>1</v>
      </c>
      <c r="O82" s="29" t="s">
        <v>29</v>
      </c>
      <c r="P82" s="29">
        <f t="shared" si="5"/>
        <v>4</v>
      </c>
    </row>
    <row r="83" ht="16.5" customHeight="1" spans="1:16">
      <c r="A83" s="26">
        <v>3312</v>
      </c>
      <c r="B83" s="26" t="s">
        <v>116</v>
      </c>
      <c r="C83" s="26" t="s">
        <v>28</v>
      </c>
      <c r="D83" s="27">
        <v>45794</v>
      </c>
      <c r="E83" s="28">
        <f t="shared" si="3"/>
        <v>45914</v>
      </c>
      <c r="F83" s="27" t="str">
        <f ca="1" t="shared" si="4"/>
        <v>Vencido</v>
      </c>
      <c r="G83" s="26" t="s">
        <v>33</v>
      </c>
      <c r="H83" s="29">
        <v>15</v>
      </c>
      <c r="I83" s="26" t="s">
        <v>37</v>
      </c>
      <c r="J83" s="30" t="s">
        <v>29</v>
      </c>
      <c r="K83" s="29">
        <v>30</v>
      </c>
      <c r="L83" s="30" t="s">
        <v>29</v>
      </c>
      <c r="M83" s="31">
        <v>20</v>
      </c>
      <c r="N83" s="31">
        <v>7</v>
      </c>
      <c r="O83" s="29" t="s">
        <v>29</v>
      </c>
      <c r="P83" s="29">
        <f t="shared" si="5"/>
        <v>58</v>
      </c>
    </row>
    <row r="84" s="10" customFormat="1" ht="16.5" customHeight="1" spans="1:16">
      <c r="A84" s="26">
        <v>3313</v>
      </c>
      <c r="B84" s="26" t="s">
        <v>117</v>
      </c>
      <c r="C84" s="26" t="s">
        <v>36</v>
      </c>
      <c r="D84" s="27">
        <v>45795</v>
      </c>
      <c r="E84" s="28">
        <f t="shared" si="3"/>
        <v>45825</v>
      </c>
      <c r="F84" s="27" t="str">
        <f ca="1" t="shared" si="4"/>
        <v>Vencido</v>
      </c>
      <c r="G84" s="26" t="s">
        <v>29</v>
      </c>
      <c r="H84" s="29">
        <v>10</v>
      </c>
      <c r="I84" s="26" t="s">
        <v>30</v>
      </c>
      <c r="J84" s="30" t="s">
        <v>33</v>
      </c>
      <c r="K84" s="29"/>
      <c r="L84" s="30" t="s">
        <v>29</v>
      </c>
      <c r="M84" s="31">
        <v>20</v>
      </c>
      <c r="N84" s="31">
        <v>10</v>
      </c>
      <c r="O84" s="29" t="s">
        <v>29</v>
      </c>
      <c r="P84" s="29">
        <f t="shared" si="5"/>
        <v>20</v>
      </c>
    </row>
    <row r="85" s="10" customFormat="1" ht="16.5" customHeight="1" spans="1:16">
      <c r="A85" s="26">
        <v>3314</v>
      </c>
      <c r="B85" s="26" t="s">
        <v>118</v>
      </c>
      <c r="C85" s="26" t="s">
        <v>32</v>
      </c>
      <c r="D85" s="27">
        <v>45796</v>
      </c>
      <c r="E85" s="28">
        <f t="shared" si="3"/>
        <v>46156</v>
      </c>
      <c r="F85" s="27" t="str">
        <f ca="1" t="shared" si="4"/>
        <v>Vencido</v>
      </c>
      <c r="G85" s="26" t="s">
        <v>33</v>
      </c>
      <c r="H85" s="29">
        <v>5</v>
      </c>
      <c r="I85" s="26" t="s">
        <v>34</v>
      </c>
      <c r="J85" s="30" t="s">
        <v>33</v>
      </c>
      <c r="K85" s="29"/>
      <c r="L85" s="30" t="s">
        <v>33</v>
      </c>
      <c r="M85" s="31"/>
      <c r="N85" s="31">
        <v>0</v>
      </c>
      <c r="O85" s="29" t="s">
        <v>33</v>
      </c>
      <c r="P85" s="29">
        <f t="shared" si="5"/>
        <v>5</v>
      </c>
    </row>
    <row r="86" ht="16.5" customHeight="1" spans="1:16">
      <c r="A86" s="26">
        <v>3315</v>
      </c>
      <c r="B86" s="26" t="s">
        <v>119</v>
      </c>
      <c r="C86" s="26" t="s">
        <v>28</v>
      </c>
      <c r="D86" s="27">
        <v>45797</v>
      </c>
      <c r="E86" s="28">
        <f t="shared" si="3"/>
        <v>45827</v>
      </c>
      <c r="F86" s="27" t="str">
        <f ca="1" t="shared" si="4"/>
        <v>Vencido</v>
      </c>
      <c r="G86" s="26" t="s">
        <v>29</v>
      </c>
      <c r="H86" s="29">
        <v>15</v>
      </c>
      <c r="I86" s="26" t="s">
        <v>30</v>
      </c>
      <c r="J86" s="30" t="s">
        <v>29</v>
      </c>
      <c r="K86" s="29">
        <v>30</v>
      </c>
      <c r="L86" s="30" t="s">
        <v>29</v>
      </c>
      <c r="M86" s="31">
        <v>20</v>
      </c>
      <c r="N86" s="31">
        <v>20</v>
      </c>
      <c r="O86" s="29" t="s">
        <v>29</v>
      </c>
      <c r="P86" s="29">
        <f t="shared" si="5"/>
        <v>45</v>
      </c>
    </row>
    <row r="87" s="10" customFormat="1" ht="16.5" customHeight="1" spans="1:16">
      <c r="A87" s="26">
        <v>3316</v>
      </c>
      <c r="B87" s="26" t="s">
        <v>120</v>
      </c>
      <c r="C87" s="26" t="s">
        <v>36</v>
      </c>
      <c r="D87" s="27">
        <v>45798</v>
      </c>
      <c r="E87" s="28">
        <f t="shared" si="3"/>
        <v>45918</v>
      </c>
      <c r="F87" s="27" t="str">
        <f ca="1" t="shared" si="4"/>
        <v>Vencido</v>
      </c>
      <c r="G87" s="26" t="s">
        <v>33</v>
      </c>
      <c r="H87" s="29">
        <v>10</v>
      </c>
      <c r="I87" s="26" t="s">
        <v>37</v>
      </c>
      <c r="J87" s="30" t="s">
        <v>33</v>
      </c>
      <c r="K87" s="29"/>
      <c r="L87" s="30" t="s">
        <v>29</v>
      </c>
      <c r="M87" s="31">
        <v>20</v>
      </c>
      <c r="N87" s="31">
        <v>15</v>
      </c>
      <c r="O87" s="29" t="s">
        <v>29</v>
      </c>
      <c r="P87" s="29">
        <f t="shared" si="5"/>
        <v>15</v>
      </c>
    </row>
    <row r="88" s="10" customFormat="1" ht="16.5" customHeight="1" spans="1:16">
      <c r="A88" s="26">
        <v>3317</v>
      </c>
      <c r="B88" s="26" t="s">
        <v>121</v>
      </c>
      <c r="C88" s="26" t="s">
        <v>32</v>
      </c>
      <c r="D88" s="27">
        <v>45799</v>
      </c>
      <c r="E88" s="28">
        <f t="shared" si="3"/>
        <v>45829</v>
      </c>
      <c r="F88" s="27" t="str">
        <f ca="1" t="shared" si="4"/>
        <v>Vencido</v>
      </c>
      <c r="G88" s="26" t="s">
        <v>29</v>
      </c>
      <c r="H88" s="29">
        <v>5</v>
      </c>
      <c r="I88" s="26" t="s">
        <v>30</v>
      </c>
      <c r="J88" s="30" t="s">
        <v>33</v>
      </c>
      <c r="K88" s="29"/>
      <c r="L88" s="30" t="s">
        <v>33</v>
      </c>
      <c r="M88" s="31"/>
      <c r="N88" s="31">
        <v>1</v>
      </c>
      <c r="O88" s="29" t="s">
        <v>29</v>
      </c>
      <c r="P88" s="29">
        <f t="shared" si="5"/>
        <v>4</v>
      </c>
    </row>
    <row r="89" ht="16.5" customHeight="1" spans="1:16">
      <c r="A89" s="26">
        <v>3318</v>
      </c>
      <c r="B89" s="26" t="s">
        <v>122</v>
      </c>
      <c r="C89" s="26" t="s">
        <v>28</v>
      </c>
      <c r="D89" s="27">
        <v>45800</v>
      </c>
      <c r="E89" s="28">
        <f t="shared" si="3"/>
        <v>46160</v>
      </c>
      <c r="F89" s="27" t="str">
        <f ca="1" t="shared" si="4"/>
        <v>Vencido</v>
      </c>
      <c r="G89" s="26" t="s">
        <v>33</v>
      </c>
      <c r="H89" s="29">
        <v>15</v>
      </c>
      <c r="I89" s="26" t="s">
        <v>34</v>
      </c>
      <c r="J89" s="30" t="s">
        <v>29</v>
      </c>
      <c r="K89" s="29">
        <v>30</v>
      </c>
      <c r="L89" s="30" t="s">
        <v>29</v>
      </c>
      <c r="M89" s="31">
        <v>20</v>
      </c>
      <c r="N89" s="31">
        <v>3</v>
      </c>
      <c r="O89" s="29" t="s">
        <v>29</v>
      </c>
      <c r="P89" s="29">
        <f t="shared" si="5"/>
        <v>62</v>
      </c>
    </row>
    <row r="90" s="10" customFormat="1" ht="16.5" customHeight="1" spans="1:16">
      <c r="A90" s="26">
        <v>3319</v>
      </c>
      <c r="B90" s="26" t="s">
        <v>123</v>
      </c>
      <c r="C90" s="26" t="s">
        <v>36</v>
      </c>
      <c r="D90" s="27">
        <v>45801</v>
      </c>
      <c r="E90" s="28">
        <f t="shared" si="3"/>
        <v>45831</v>
      </c>
      <c r="F90" s="27" t="str">
        <f ca="1" t="shared" si="4"/>
        <v>Vencido</v>
      </c>
      <c r="G90" s="26" t="s">
        <v>29</v>
      </c>
      <c r="H90" s="29">
        <v>10</v>
      </c>
      <c r="I90" s="26" t="s">
        <v>30</v>
      </c>
      <c r="J90" s="30" t="s">
        <v>33</v>
      </c>
      <c r="K90" s="29"/>
      <c r="L90" s="30" t="s">
        <v>29</v>
      </c>
      <c r="M90" s="31">
        <v>20</v>
      </c>
      <c r="N90" s="31">
        <v>10</v>
      </c>
      <c r="O90" s="29" t="s">
        <v>29</v>
      </c>
      <c r="P90" s="29">
        <f t="shared" si="5"/>
        <v>20</v>
      </c>
    </row>
    <row r="91" s="10" customFormat="1" ht="16.5" customHeight="1" spans="1:16">
      <c r="A91" s="26">
        <v>3320</v>
      </c>
      <c r="B91" s="26" t="s">
        <v>124</v>
      </c>
      <c r="C91" s="26" t="s">
        <v>32</v>
      </c>
      <c r="D91" s="27">
        <v>45802</v>
      </c>
      <c r="E91" s="28">
        <f t="shared" si="3"/>
        <v>45922</v>
      </c>
      <c r="F91" s="27" t="str">
        <f ca="1" t="shared" si="4"/>
        <v>Vencido</v>
      </c>
      <c r="G91" s="26" t="s">
        <v>33</v>
      </c>
      <c r="H91" s="29">
        <v>5</v>
      </c>
      <c r="I91" s="26" t="s">
        <v>37</v>
      </c>
      <c r="J91" s="30" t="s">
        <v>33</v>
      </c>
      <c r="K91" s="29"/>
      <c r="L91" s="30" t="s">
        <v>33</v>
      </c>
      <c r="M91" s="31"/>
      <c r="N91" s="31">
        <v>0</v>
      </c>
      <c r="O91" s="29" t="s">
        <v>33</v>
      </c>
      <c r="P91" s="29">
        <f t="shared" si="5"/>
        <v>5</v>
      </c>
    </row>
    <row r="92" ht="16.5" customHeight="1" spans="1:16">
      <c r="A92" s="26">
        <v>3321</v>
      </c>
      <c r="B92" s="26" t="s">
        <v>125</v>
      </c>
      <c r="C92" s="26" t="s">
        <v>28</v>
      </c>
      <c r="D92" s="27">
        <v>45803</v>
      </c>
      <c r="E92" s="28">
        <f t="shared" si="3"/>
        <v>45833</v>
      </c>
      <c r="F92" s="27" t="str">
        <f ca="1" t="shared" si="4"/>
        <v>Vencido</v>
      </c>
      <c r="G92" s="26" t="s">
        <v>29</v>
      </c>
      <c r="H92" s="29">
        <v>15</v>
      </c>
      <c r="I92" s="26" t="s">
        <v>30</v>
      </c>
      <c r="J92" s="30" t="s">
        <v>29</v>
      </c>
      <c r="K92" s="29">
        <v>30</v>
      </c>
      <c r="L92" s="30" t="s">
        <v>29</v>
      </c>
      <c r="M92" s="31">
        <v>20</v>
      </c>
      <c r="N92" s="31">
        <v>5</v>
      </c>
      <c r="O92" s="29" t="s">
        <v>29</v>
      </c>
      <c r="P92" s="29">
        <f t="shared" si="5"/>
        <v>60</v>
      </c>
    </row>
    <row r="93" s="10" customFormat="1" ht="16.5" customHeight="1" spans="1:16">
      <c r="A93" s="26">
        <v>3322</v>
      </c>
      <c r="B93" s="26" t="s">
        <v>126</v>
      </c>
      <c r="C93" s="26" t="s">
        <v>36</v>
      </c>
      <c r="D93" s="27">
        <v>45804</v>
      </c>
      <c r="E93" s="28">
        <f t="shared" si="3"/>
        <v>46164</v>
      </c>
      <c r="F93" s="27" t="str">
        <f ca="1" t="shared" si="4"/>
        <v>Vencido</v>
      </c>
      <c r="G93" s="26" t="s">
        <v>33</v>
      </c>
      <c r="H93" s="29">
        <v>10</v>
      </c>
      <c r="I93" s="26" t="s">
        <v>34</v>
      </c>
      <c r="J93" s="30" t="s">
        <v>33</v>
      </c>
      <c r="K93" s="29"/>
      <c r="L93" s="30" t="s">
        <v>29</v>
      </c>
      <c r="M93" s="31">
        <v>20</v>
      </c>
      <c r="N93" s="31">
        <v>15</v>
      </c>
      <c r="O93" s="29" t="s">
        <v>29</v>
      </c>
      <c r="P93" s="29">
        <f t="shared" si="5"/>
        <v>15</v>
      </c>
    </row>
    <row r="94" s="10" customFormat="1" ht="16.5" customHeight="1" spans="1:16">
      <c r="A94" s="26">
        <v>3323</v>
      </c>
      <c r="B94" s="26" t="s">
        <v>127</v>
      </c>
      <c r="C94" s="26" t="s">
        <v>32</v>
      </c>
      <c r="D94" s="27">
        <v>45805</v>
      </c>
      <c r="E94" s="28">
        <f t="shared" si="3"/>
        <v>45835</v>
      </c>
      <c r="F94" s="27" t="str">
        <f ca="1" t="shared" si="4"/>
        <v>Vencido</v>
      </c>
      <c r="G94" s="26" t="s">
        <v>29</v>
      </c>
      <c r="H94" s="29">
        <v>5</v>
      </c>
      <c r="I94" s="26" t="s">
        <v>30</v>
      </c>
      <c r="J94" s="30" t="s">
        <v>33</v>
      </c>
      <c r="K94" s="29"/>
      <c r="L94" s="30" t="s">
        <v>33</v>
      </c>
      <c r="M94" s="31"/>
      <c r="N94" s="31">
        <v>1</v>
      </c>
      <c r="O94" s="29" t="s">
        <v>29</v>
      </c>
      <c r="P94" s="29">
        <f t="shared" si="5"/>
        <v>4</v>
      </c>
    </row>
    <row r="95" ht="16.5" customHeight="1" spans="1:16">
      <c r="A95" s="26">
        <v>3324</v>
      </c>
      <c r="B95" s="26" t="s">
        <v>128</v>
      </c>
      <c r="C95" s="26" t="s">
        <v>28</v>
      </c>
      <c r="D95" s="27">
        <v>45806</v>
      </c>
      <c r="E95" s="28">
        <f t="shared" si="3"/>
        <v>45926</v>
      </c>
      <c r="F95" s="27" t="str">
        <f ca="1" t="shared" si="4"/>
        <v>Vencido</v>
      </c>
      <c r="G95" s="26" t="s">
        <v>33</v>
      </c>
      <c r="H95" s="29">
        <v>15</v>
      </c>
      <c r="I95" s="26" t="s">
        <v>37</v>
      </c>
      <c r="J95" s="30" t="s">
        <v>29</v>
      </c>
      <c r="K95" s="29">
        <v>30</v>
      </c>
      <c r="L95" s="30" t="s">
        <v>29</v>
      </c>
      <c r="M95" s="31">
        <v>20</v>
      </c>
      <c r="N95" s="31">
        <v>20</v>
      </c>
      <c r="O95" s="29" t="s">
        <v>29</v>
      </c>
      <c r="P95" s="29">
        <f t="shared" si="5"/>
        <v>45</v>
      </c>
    </row>
    <row r="96" s="10" customFormat="1" ht="16.5" customHeight="1" spans="1:16">
      <c r="A96" s="26">
        <v>3325</v>
      </c>
      <c r="B96" s="26" t="s">
        <v>129</v>
      </c>
      <c r="C96" s="26" t="s">
        <v>36</v>
      </c>
      <c r="D96" s="27">
        <v>45807</v>
      </c>
      <c r="E96" s="28">
        <f t="shared" si="3"/>
        <v>45927</v>
      </c>
      <c r="F96" s="27" t="str">
        <f ca="1" t="shared" si="4"/>
        <v>Vencido</v>
      </c>
      <c r="G96" s="26" t="s">
        <v>29</v>
      </c>
      <c r="H96" s="29">
        <v>10</v>
      </c>
      <c r="I96" s="26" t="s">
        <v>37</v>
      </c>
      <c r="J96" s="30" t="s">
        <v>33</v>
      </c>
      <c r="K96" s="29"/>
      <c r="L96" s="30" t="s">
        <v>29</v>
      </c>
      <c r="M96" s="31">
        <v>20</v>
      </c>
      <c r="N96" s="31">
        <v>15</v>
      </c>
      <c r="O96" s="29" t="s">
        <v>29</v>
      </c>
      <c r="P96" s="29">
        <f t="shared" si="5"/>
        <v>15</v>
      </c>
    </row>
    <row r="97" s="10" customFormat="1" ht="16.5" customHeight="1" spans="1:16">
      <c r="A97" s="26">
        <v>3326</v>
      </c>
      <c r="B97" s="26" t="s">
        <v>130</v>
      </c>
      <c r="C97" s="26" t="s">
        <v>32</v>
      </c>
      <c r="D97" s="27">
        <v>45808</v>
      </c>
      <c r="E97" s="28">
        <f t="shared" si="3"/>
        <v>46168</v>
      </c>
      <c r="F97" s="27" t="str">
        <f ca="1" t="shared" si="4"/>
        <v>Vencido</v>
      </c>
      <c r="G97" s="26" t="s">
        <v>33</v>
      </c>
      <c r="H97" s="29">
        <v>5</v>
      </c>
      <c r="I97" s="26" t="s">
        <v>34</v>
      </c>
      <c r="J97" s="30" t="s">
        <v>33</v>
      </c>
      <c r="K97" s="29"/>
      <c r="L97" s="30" t="s">
        <v>33</v>
      </c>
      <c r="M97" s="31"/>
      <c r="N97" s="31">
        <v>0</v>
      </c>
      <c r="O97" s="29" t="s">
        <v>33</v>
      </c>
      <c r="P97" s="29">
        <f t="shared" si="5"/>
        <v>5</v>
      </c>
    </row>
    <row r="98" ht="16.5" customHeight="1" spans="1:16">
      <c r="A98" s="26">
        <v>3327</v>
      </c>
      <c r="B98" s="26" t="s">
        <v>131</v>
      </c>
      <c r="C98" s="26" t="s">
        <v>28</v>
      </c>
      <c r="D98" s="27">
        <v>45809</v>
      </c>
      <c r="E98" s="28">
        <f t="shared" si="3"/>
        <v>45839</v>
      </c>
      <c r="F98" s="27" t="str">
        <f ca="1" t="shared" si="4"/>
        <v>Vencido</v>
      </c>
      <c r="G98" s="26" t="s">
        <v>29</v>
      </c>
      <c r="H98" s="29">
        <v>15</v>
      </c>
      <c r="I98" s="26" t="s">
        <v>30</v>
      </c>
      <c r="J98" s="30" t="s">
        <v>29</v>
      </c>
      <c r="K98" s="29">
        <v>30</v>
      </c>
      <c r="L98" s="30" t="s">
        <v>29</v>
      </c>
      <c r="M98" s="31">
        <v>20</v>
      </c>
      <c r="N98" s="31">
        <v>7</v>
      </c>
      <c r="O98" s="29" t="s">
        <v>29</v>
      </c>
      <c r="P98" s="29">
        <f t="shared" si="5"/>
        <v>58</v>
      </c>
    </row>
    <row r="99" s="10" customFormat="1" ht="16.5" customHeight="1" spans="1:16">
      <c r="A99" s="26">
        <v>3328</v>
      </c>
      <c r="B99" s="26" t="s">
        <v>132</v>
      </c>
      <c r="C99" s="26" t="s">
        <v>36</v>
      </c>
      <c r="D99" s="27">
        <v>45810</v>
      </c>
      <c r="E99" s="28">
        <f t="shared" si="3"/>
        <v>46170</v>
      </c>
      <c r="F99" s="27" t="str">
        <f ca="1" t="shared" si="4"/>
        <v>Vencido</v>
      </c>
      <c r="G99" s="26" t="s">
        <v>33</v>
      </c>
      <c r="H99" s="29">
        <v>10</v>
      </c>
      <c r="I99" s="26" t="s">
        <v>34</v>
      </c>
      <c r="J99" s="30" t="s">
        <v>33</v>
      </c>
      <c r="K99" s="29"/>
      <c r="L99" s="30" t="s">
        <v>29</v>
      </c>
      <c r="M99" s="31">
        <v>20</v>
      </c>
      <c r="N99" s="31">
        <v>10</v>
      </c>
      <c r="O99" s="29" t="s">
        <v>29</v>
      </c>
      <c r="P99" s="29">
        <f t="shared" si="5"/>
        <v>20</v>
      </c>
    </row>
    <row r="100" s="10" customFormat="1" ht="16.5" customHeight="1" spans="1:16">
      <c r="A100" s="26">
        <v>3329</v>
      </c>
      <c r="B100" s="26" t="s">
        <v>133</v>
      </c>
      <c r="C100" s="26" t="s">
        <v>32</v>
      </c>
      <c r="D100" s="27">
        <v>45811</v>
      </c>
      <c r="E100" s="28">
        <f t="shared" si="3"/>
        <v>45931</v>
      </c>
      <c r="F100" s="27" t="str">
        <f ca="1" t="shared" si="4"/>
        <v>Vencido</v>
      </c>
      <c r="G100" s="26" t="s">
        <v>29</v>
      </c>
      <c r="H100" s="29">
        <v>5</v>
      </c>
      <c r="I100" s="26" t="s">
        <v>37</v>
      </c>
      <c r="J100" s="30" t="s">
        <v>33</v>
      </c>
      <c r="K100" s="29"/>
      <c r="L100" s="30" t="s">
        <v>33</v>
      </c>
      <c r="M100" s="31"/>
      <c r="N100" s="31">
        <v>1</v>
      </c>
      <c r="O100" s="29" t="s">
        <v>29</v>
      </c>
      <c r="P100" s="29">
        <f t="shared" si="5"/>
        <v>4</v>
      </c>
    </row>
    <row r="101" ht="16.5" customHeight="1" spans="1:16">
      <c r="A101" s="26">
        <v>3330</v>
      </c>
      <c r="B101" s="26" t="s">
        <v>134</v>
      </c>
      <c r="C101" s="26" t="s">
        <v>28</v>
      </c>
      <c r="D101" s="27">
        <v>45812</v>
      </c>
      <c r="E101" s="28">
        <f t="shared" si="3"/>
        <v>45842</v>
      </c>
      <c r="F101" s="27" t="str">
        <f ca="1" t="shared" si="4"/>
        <v>Vencido</v>
      </c>
      <c r="G101" s="26" t="s">
        <v>33</v>
      </c>
      <c r="H101" s="29">
        <v>15</v>
      </c>
      <c r="I101" s="26" t="s">
        <v>30</v>
      </c>
      <c r="J101" s="30" t="s">
        <v>29</v>
      </c>
      <c r="K101" s="29">
        <v>30</v>
      </c>
      <c r="L101" s="30" t="s">
        <v>29</v>
      </c>
      <c r="M101" s="31">
        <v>20</v>
      </c>
      <c r="N101" s="31">
        <v>15</v>
      </c>
      <c r="O101" s="29" t="s">
        <v>29</v>
      </c>
      <c r="P101" s="29">
        <f t="shared" si="5"/>
        <v>50</v>
      </c>
    </row>
    <row r="102" s="10" customFormat="1" ht="16.5" customHeight="1" spans="1:16">
      <c r="A102" s="26">
        <v>3331</v>
      </c>
      <c r="B102" s="26" t="s">
        <v>135</v>
      </c>
      <c r="C102" s="26" t="s">
        <v>36</v>
      </c>
      <c r="D102" s="27">
        <v>45813</v>
      </c>
      <c r="E102" s="28">
        <f t="shared" si="3"/>
        <v>45843</v>
      </c>
      <c r="F102" s="27" t="str">
        <f ca="1" t="shared" si="4"/>
        <v>Vencido</v>
      </c>
      <c r="G102" s="26" t="s">
        <v>29</v>
      </c>
      <c r="H102" s="29">
        <v>10</v>
      </c>
      <c r="I102" s="26" t="s">
        <v>30</v>
      </c>
      <c r="J102" s="30" t="s">
        <v>33</v>
      </c>
      <c r="K102" s="29"/>
      <c r="L102" s="30" t="s">
        <v>29</v>
      </c>
      <c r="M102" s="31">
        <v>20</v>
      </c>
      <c r="N102" s="31">
        <v>5</v>
      </c>
      <c r="O102" s="29" t="s">
        <v>29</v>
      </c>
      <c r="P102" s="29">
        <f t="shared" si="5"/>
        <v>25</v>
      </c>
    </row>
    <row r="103" s="10" customFormat="1" ht="16.5" customHeight="1" spans="1:16">
      <c r="A103" s="26">
        <v>3332</v>
      </c>
      <c r="B103" s="26" t="s">
        <v>136</v>
      </c>
      <c r="C103" s="26" t="s">
        <v>32</v>
      </c>
      <c r="D103" s="27">
        <v>45814</v>
      </c>
      <c r="E103" s="28">
        <f t="shared" si="3"/>
        <v>46174</v>
      </c>
      <c r="F103" s="27" t="str">
        <f ca="1" t="shared" si="4"/>
        <v>Vencido</v>
      </c>
      <c r="G103" s="26" t="s">
        <v>33</v>
      </c>
      <c r="H103" s="29">
        <v>5</v>
      </c>
      <c r="I103" s="26" t="s">
        <v>34</v>
      </c>
      <c r="J103" s="30" t="s">
        <v>33</v>
      </c>
      <c r="K103" s="29"/>
      <c r="L103" s="30" t="s">
        <v>33</v>
      </c>
      <c r="M103" s="31"/>
      <c r="N103" s="31">
        <v>0</v>
      </c>
      <c r="O103" s="29" t="s">
        <v>33</v>
      </c>
      <c r="P103" s="29">
        <f t="shared" si="5"/>
        <v>5</v>
      </c>
    </row>
    <row r="104" ht="16.5" customHeight="1" spans="1:16">
      <c r="A104" s="26">
        <v>3333</v>
      </c>
      <c r="B104" s="26" t="s">
        <v>137</v>
      </c>
      <c r="C104" s="26" t="s">
        <v>28</v>
      </c>
      <c r="D104" s="27">
        <v>45815</v>
      </c>
      <c r="E104" s="28">
        <f t="shared" si="3"/>
        <v>45935</v>
      </c>
      <c r="F104" s="27" t="str">
        <f ca="1" t="shared" si="4"/>
        <v>Vencido</v>
      </c>
      <c r="G104" s="26" t="s">
        <v>29</v>
      </c>
      <c r="H104" s="29">
        <v>15</v>
      </c>
      <c r="I104" s="26" t="s">
        <v>37</v>
      </c>
      <c r="J104" s="30" t="s">
        <v>29</v>
      </c>
      <c r="K104" s="29">
        <v>30</v>
      </c>
      <c r="L104" s="30" t="s">
        <v>29</v>
      </c>
      <c r="M104" s="31">
        <v>20</v>
      </c>
      <c r="N104" s="31">
        <v>20</v>
      </c>
      <c r="O104" s="29" t="s">
        <v>29</v>
      </c>
      <c r="P104" s="29">
        <f t="shared" si="5"/>
        <v>45</v>
      </c>
    </row>
    <row r="105" s="10" customFormat="1" ht="16.5" customHeight="1" spans="1:16">
      <c r="A105" s="26">
        <v>3334</v>
      </c>
      <c r="B105" s="26" t="s">
        <v>138</v>
      </c>
      <c r="C105" s="26" t="s">
        <v>36</v>
      </c>
      <c r="D105" s="27">
        <v>45816</v>
      </c>
      <c r="E105" s="28">
        <f t="shared" si="3"/>
        <v>45936</v>
      </c>
      <c r="F105" s="27" t="str">
        <f ca="1" t="shared" si="4"/>
        <v>Vencido</v>
      </c>
      <c r="G105" s="26" t="s">
        <v>33</v>
      </c>
      <c r="H105" s="29">
        <v>10</v>
      </c>
      <c r="I105" s="26" t="s">
        <v>37</v>
      </c>
      <c r="J105" s="30" t="s">
        <v>33</v>
      </c>
      <c r="K105" s="29"/>
      <c r="L105" s="30" t="s">
        <v>29</v>
      </c>
      <c r="M105" s="31">
        <v>20</v>
      </c>
      <c r="N105" s="31">
        <v>12</v>
      </c>
      <c r="O105" s="29" t="s">
        <v>29</v>
      </c>
      <c r="P105" s="29">
        <f t="shared" si="5"/>
        <v>18</v>
      </c>
    </row>
    <row r="106" s="10" customFormat="1" ht="16.5" customHeight="1" spans="1:16">
      <c r="A106" s="26">
        <v>3335</v>
      </c>
      <c r="B106" s="26" t="s">
        <v>139</v>
      </c>
      <c r="C106" s="26" t="s">
        <v>32</v>
      </c>
      <c r="D106" s="27">
        <v>45817</v>
      </c>
      <c r="E106" s="28">
        <f t="shared" si="3"/>
        <v>45847</v>
      </c>
      <c r="F106" s="27" t="str">
        <f ca="1" t="shared" si="4"/>
        <v>Vencido</v>
      </c>
      <c r="G106" s="26" t="s">
        <v>29</v>
      </c>
      <c r="H106" s="29">
        <v>5</v>
      </c>
      <c r="I106" s="26" t="s">
        <v>30</v>
      </c>
      <c r="J106" s="30" t="s">
        <v>33</v>
      </c>
      <c r="K106" s="29"/>
      <c r="L106" s="30" t="s">
        <v>33</v>
      </c>
      <c r="M106" s="31"/>
      <c r="N106" s="31">
        <v>2</v>
      </c>
      <c r="O106" s="29" t="s">
        <v>29</v>
      </c>
      <c r="P106" s="29">
        <f t="shared" si="5"/>
        <v>3</v>
      </c>
    </row>
    <row r="107" s="10" customFormat="1" ht="16.5" customHeight="1" spans="1:16">
      <c r="A107" s="26">
        <v>3336</v>
      </c>
      <c r="B107" s="26" t="s">
        <v>140</v>
      </c>
      <c r="C107" s="26" t="s">
        <v>32</v>
      </c>
      <c r="D107" s="27">
        <v>45818</v>
      </c>
      <c r="E107" s="28">
        <f t="shared" si="3"/>
        <v>45848</v>
      </c>
      <c r="F107" s="27" t="str">
        <f ca="1" t="shared" si="4"/>
        <v>Vencido</v>
      </c>
      <c r="G107" s="26" t="s">
        <v>29</v>
      </c>
      <c r="H107" s="29">
        <v>5</v>
      </c>
      <c r="I107" s="26" t="s">
        <v>30</v>
      </c>
      <c r="J107" s="30" t="s">
        <v>33</v>
      </c>
      <c r="K107" s="29"/>
      <c r="L107" s="30" t="s">
        <v>33</v>
      </c>
      <c r="M107" s="31"/>
      <c r="N107" s="31">
        <v>0</v>
      </c>
      <c r="O107" s="29" t="s">
        <v>33</v>
      </c>
      <c r="P107" s="29">
        <f t="shared" si="5"/>
        <v>5</v>
      </c>
    </row>
    <row r="108" ht="16.5" customHeight="1" spans="1:16">
      <c r="A108" s="26">
        <v>3337</v>
      </c>
      <c r="B108" s="26" t="s">
        <v>141</v>
      </c>
      <c r="C108" s="26" t="s">
        <v>28</v>
      </c>
      <c r="D108" s="27">
        <v>45819</v>
      </c>
      <c r="E108" s="28">
        <f t="shared" si="3"/>
        <v>45939</v>
      </c>
      <c r="F108" s="27" t="str">
        <f ca="1" t="shared" si="4"/>
        <v>Vencido</v>
      </c>
      <c r="G108" s="26" t="s">
        <v>33</v>
      </c>
      <c r="H108" s="29">
        <v>15</v>
      </c>
      <c r="I108" s="26" t="s">
        <v>37</v>
      </c>
      <c r="J108" s="30" t="s">
        <v>29</v>
      </c>
      <c r="K108" s="29">
        <v>30</v>
      </c>
      <c r="L108" s="30" t="s">
        <v>29</v>
      </c>
      <c r="M108" s="31">
        <v>20</v>
      </c>
      <c r="N108" s="31">
        <v>7</v>
      </c>
      <c r="O108" s="29" t="s">
        <v>29</v>
      </c>
      <c r="P108" s="29">
        <f t="shared" si="5"/>
        <v>58</v>
      </c>
    </row>
    <row r="109" s="10" customFormat="1" ht="16.5" customHeight="1" spans="1:16">
      <c r="A109" s="26">
        <v>3338</v>
      </c>
      <c r="B109" s="26" t="s">
        <v>142</v>
      </c>
      <c r="C109" s="26" t="s">
        <v>36</v>
      </c>
      <c r="D109" s="27">
        <v>45820</v>
      </c>
      <c r="E109" s="28">
        <f t="shared" si="3"/>
        <v>46180</v>
      </c>
      <c r="F109" s="27" t="str">
        <f ca="1" t="shared" si="4"/>
        <v>Vencido</v>
      </c>
      <c r="G109" s="26" t="s">
        <v>29</v>
      </c>
      <c r="H109" s="29">
        <v>10</v>
      </c>
      <c r="I109" s="26" t="s">
        <v>34</v>
      </c>
      <c r="J109" s="30" t="s">
        <v>33</v>
      </c>
      <c r="K109" s="29"/>
      <c r="L109" s="30" t="s">
        <v>29</v>
      </c>
      <c r="M109" s="31">
        <v>20</v>
      </c>
      <c r="N109" s="31">
        <v>10</v>
      </c>
      <c r="O109" s="29" t="s">
        <v>29</v>
      </c>
      <c r="P109" s="29">
        <f t="shared" si="5"/>
        <v>20</v>
      </c>
    </row>
    <row r="110" s="10" customFormat="1" ht="16.5" customHeight="1" spans="1:16">
      <c r="A110" s="26">
        <v>3339</v>
      </c>
      <c r="B110" s="26" t="s">
        <v>143</v>
      </c>
      <c r="C110" s="26" t="s">
        <v>32</v>
      </c>
      <c r="D110" s="27">
        <v>45821</v>
      </c>
      <c r="E110" s="28">
        <f t="shared" si="3"/>
        <v>45941</v>
      </c>
      <c r="F110" s="27" t="str">
        <f ca="1" t="shared" si="4"/>
        <v>Vencido</v>
      </c>
      <c r="G110" s="26" t="s">
        <v>33</v>
      </c>
      <c r="H110" s="29">
        <v>5</v>
      </c>
      <c r="I110" s="26" t="s">
        <v>37</v>
      </c>
      <c r="J110" s="30" t="s">
        <v>33</v>
      </c>
      <c r="K110" s="29"/>
      <c r="L110" s="30" t="s">
        <v>33</v>
      </c>
      <c r="M110" s="31"/>
      <c r="N110" s="31">
        <v>1</v>
      </c>
      <c r="O110" s="29" t="s">
        <v>29</v>
      </c>
      <c r="P110" s="29">
        <f t="shared" si="5"/>
        <v>4</v>
      </c>
    </row>
    <row r="111" ht="16.5" customHeight="1" spans="1:16">
      <c r="A111" s="26">
        <v>3340</v>
      </c>
      <c r="B111" s="26" t="s">
        <v>144</v>
      </c>
      <c r="C111" s="26" t="s">
        <v>28</v>
      </c>
      <c r="D111" s="27">
        <v>45822</v>
      </c>
      <c r="E111" s="28">
        <f t="shared" si="3"/>
        <v>45852</v>
      </c>
      <c r="F111" s="27" t="str">
        <f ca="1" t="shared" si="4"/>
        <v>Vencido</v>
      </c>
      <c r="G111" s="26" t="s">
        <v>29</v>
      </c>
      <c r="H111" s="29">
        <v>15</v>
      </c>
      <c r="I111" s="26" t="s">
        <v>30</v>
      </c>
      <c r="J111" s="30" t="s">
        <v>29</v>
      </c>
      <c r="K111" s="29">
        <v>30</v>
      </c>
      <c r="L111" s="30" t="s">
        <v>29</v>
      </c>
      <c r="M111" s="31">
        <v>20</v>
      </c>
      <c r="N111" s="31">
        <v>15</v>
      </c>
      <c r="O111" s="29" t="s">
        <v>29</v>
      </c>
      <c r="P111" s="29">
        <f t="shared" si="5"/>
        <v>50</v>
      </c>
    </row>
    <row r="112" s="10" customFormat="1" ht="16.5" customHeight="1" spans="1:16">
      <c r="A112" s="26">
        <v>3341</v>
      </c>
      <c r="B112" s="26" t="s">
        <v>145</v>
      </c>
      <c r="C112" s="26" t="s">
        <v>36</v>
      </c>
      <c r="D112" s="27">
        <v>45823</v>
      </c>
      <c r="E112" s="28">
        <f t="shared" si="3"/>
        <v>45853</v>
      </c>
      <c r="F112" s="27" t="str">
        <f ca="1" t="shared" si="4"/>
        <v>Vencido</v>
      </c>
      <c r="G112" s="26" t="s">
        <v>33</v>
      </c>
      <c r="H112" s="29">
        <v>10</v>
      </c>
      <c r="I112" s="26" t="s">
        <v>30</v>
      </c>
      <c r="J112" s="30" t="s">
        <v>33</v>
      </c>
      <c r="K112" s="29"/>
      <c r="L112" s="30" t="s">
        <v>29</v>
      </c>
      <c r="M112" s="31">
        <v>20</v>
      </c>
      <c r="N112" s="31">
        <v>5</v>
      </c>
      <c r="O112" s="29" t="s">
        <v>29</v>
      </c>
      <c r="P112" s="29">
        <f t="shared" si="5"/>
        <v>25</v>
      </c>
    </row>
    <row r="113" s="10" customFormat="1" ht="16.5" customHeight="1" spans="1:16">
      <c r="A113" s="26">
        <v>3342</v>
      </c>
      <c r="B113" s="26" t="s">
        <v>146</v>
      </c>
      <c r="C113" s="26" t="s">
        <v>32</v>
      </c>
      <c r="D113" s="27">
        <v>45824</v>
      </c>
      <c r="E113" s="28">
        <f t="shared" si="3"/>
        <v>46184</v>
      </c>
      <c r="F113" s="27" t="str">
        <f ca="1" t="shared" si="4"/>
        <v>Vencido</v>
      </c>
      <c r="G113" s="26" t="s">
        <v>29</v>
      </c>
      <c r="H113" s="29">
        <v>5</v>
      </c>
      <c r="I113" s="26" t="s">
        <v>34</v>
      </c>
      <c r="J113" s="30" t="s">
        <v>33</v>
      </c>
      <c r="K113" s="29"/>
      <c r="L113" s="30" t="s">
        <v>33</v>
      </c>
      <c r="M113" s="31"/>
      <c r="N113" s="31">
        <v>0</v>
      </c>
      <c r="O113" s="29" t="s">
        <v>33</v>
      </c>
      <c r="P113" s="29">
        <f t="shared" si="5"/>
        <v>5</v>
      </c>
    </row>
    <row r="114" ht="16.5" customHeight="1" spans="1:16">
      <c r="A114" s="26">
        <v>3343</v>
      </c>
      <c r="B114" s="26" t="s">
        <v>147</v>
      </c>
      <c r="C114" s="26" t="s">
        <v>28</v>
      </c>
      <c r="D114" s="27">
        <v>45825</v>
      </c>
      <c r="E114" s="28">
        <f t="shared" si="3"/>
        <v>45945</v>
      </c>
      <c r="F114" s="27" t="str">
        <f ca="1" t="shared" si="4"/>
        <v>Vencido</v>
      </c>
      <c r="G114" s="26" t="s">
        <v>33</v>
      </c>
      <c r="H114" s="29">
        <v>15</v>
      </c>
      <c r="I114" s="26" t="s">
        <v>37</v>
      </c>
      <c r="J114" s="30" t="s">
        <v>29</v>
      </c>
      <c r="K114" s="29">
        <v>30</v>
      </c>
      <c r="L114" s="30" t="s">
        <v>29</v>
      </c>
      <c r="M114" s="31">
        <v>20</v>
      </c>
      <c r="N114" s="31">
        <v>20</v>
      </c>
      <c r="O114" s="29" t="s">
        <v>29</v>
      </c>
      <c r="P114" s="29">
        <f t="shared" si="5"/>
        <v>45</v>
      </c>
    </row>
    <row r="115" s="10" customFormat="1" ht="16.5" customHeight="1" spans="1:16">
      <c r="A115" s="26">
        <v>3344</v>
      </c>
      <c r="B115" s="26" t="s">
        <v>148</v>
      </c>
      <c r="C115" s="26" t="s">
        <v>36</v>
      </c>
      <c r="D115" s="27">
        <v>45826</v>
      </c>
      <c r="E115" s="28">
        <f t="shared" si="3"/>
        <v>45946</v>
      </c>
      <c r="F115" s="27" t="str">
        <f ca="1" t="shared" si="4"/>
        <v>Vencido</v>
      </c>
      <c r="G115" s="26" t="s">
        <v>29</v>
      </c>
      <c r="H115" s="29">
        <v>10</v>
      </c>
      <c r="I115" s="26" t="s">
        <v>37</v>
      </c>
      <c r="J115" s="30" t="s">
        <v>33</v>
      </c>
      <c r="K115" s="29"/>
      <c r="L115" s="30" t="s">
        <v>29</v>
      </c>
      <c r="M115" s="31">
        <v>20</v>
      </c>
      <c r="N115" s="31">
        <v>12</v>
      </c>
      <c r="O115" s="29" t="s">
        <v>29</v>
      </c>
      <c r="P115" s="29">
        <f t="shared" si="5"/>
        <v>18</v>
      </c>
    </row>
    <row r="116" s="10" customFormat="1" ht="16.5" customHeight="1" spans="1:16">
      <c r="A116" s="26">
        <v>3345</v>
      </c>
      <c r="B116" s="26" t="s">
        <v>149</v>
      </c>
      <c r="C116" s="26" t="s">
        <v>32</v>
      </c>
      <c r="D116" s="27">
        <v>45827</v>
      </c>
      <c r="E116" s="28">
        <f t="shared" si="3"/>
        <v>45857</v>
      </c>
      <c r="F116" s="27" t="str">
        <f ca="1" t="shared" si="4"/>
        <v>Vencido</v>
      </c>
      <c r="G116" s="26" t="s">
        <v>33</v>
      </c>
      <c r="H116" s="29">
        <v>5</v>
      </c>
      <c r="I116" s="26" t="s">
        <v>30</v>
      </c>
      <c r="J116" s="30" t="s">
        <v>33</v>
      </c>
      <c r="K116" s="29"/>
      <c r="L116" s="30" t="s">
        <v>33</v>
      </c>
      <c r="M116" s="31"/>
      <c r="N116" s="31">
        <v>2</v>
      </c>
      <c r="O116" s="29" t="s">
        <v>29</v>
      </c>
      <c r="P116" s="29">
        <f t="shared" si="5"/>
        <v>3</v>
      </c>
    </row>
    <row r="117" ht="16.5" customHeight="1" spans="1:16">
      <c r="A117" s="26">
        <v>3346</v>
      </c>
      <c r="B117" s="26" t="s">
        <v>150</v>
      </c>
      <c r="C117" s="26" t="s">
        <v>28</v>
      </c>
      <c r="D117" s="27">
        <v>45828</v>
      </c>
      <c r="E117" s="28">
        <f t="shared" si="3"/>
        <v>46188</v>
      </c>
      <c r="F117" s="27" t="str">
        <f ca="1" t="shared" si="4"/>
        <v>Vencido</v>
      </c>
      <c r="G117" s="26" t="s">
        <v>29</v>
      </c>
      <c r="H117" s="29">
        <v>15</v>
      </c>
      <c r="I117" s="26" t="s">
        <v>34</v>
      </c>
      <c r="J117" s="30" t="s">
        <v>29</v>
      </c>
      <c r="K117" s="29">
        <v>30</v>
      </c>
      <c r="L117" s="30" t="s">
        <v>29</v>
      </c>
      <c r="M117" s="31">
        <v>20</v>
      </c>
      <c r="N117" s="31">
        <v>5</v>
      </c>
      <c r="O117" s="29" t="s">
        <v>29</v>
      </c>
      <c r="P117" s="29">
        <f t="shared" si="5"/>
        <v>60</v>
      </c>
    </row>
    <row r="118" s="10" customFormat="1" ht="16.5" customHeight="1" spans="1:16">
      <c r="A118" s="26">
        <v>3347</v>
      </c>
      <c r="B118" s="26" t="s">
        <v>151</v>
      </c>
      <c r="C118" s="26" t="s">
        <v>36</v>
      </c>
      <c r="D118" s="27">
        <v>45829</v>
      </c>
      <c r="E118" s="28">
        <f t="shared" si="3"/>
        <v>45859</v>
      </c>
      <c r="F118" s="27" t="str">
        <f ca="1" t="shared" si="4"/>
        <v>Vencido</v>
      </c>
      <c r="G118" s="26" t="s">
        <v>33</v>
      </c>
      <c r="H118" s="29">
        <v>10</v>
      </c>
      <c r="I118" s="26" t="s">
        <v>30</v>
      </c>
      <c r="J118" s="30" t="s">
        <v>33</v>
      </c>
      <c r="K118" s="29"/>
      <c r="L118" s="30" t="s">
        <v>29</v>
      </c>
      <c r="M118" s="31">
        <v>20</v>
      </c>
      <c r="N118" s="31">
        <v>10</v>
      </c>
      <c r="O118" s="29" t="s">
        <v>29</v>
      </c>
      <c r="P118" s="29">
        <f t="shared" si="5"/>
        <v>20</v>
      </c>
    </row>
    <row r="119" s="10" customFormat="1" ht="16.5" customHeight="1" spans="1:16">
      <c r="A119" s="26">
        <v>3348</v>
      </c>
      <c r="B119" s="26" t="s">
        <v>152</v>
      </c>
      <c r="C119" s="26" t="s">
        <v>32</v>
      </c>
      <c r="D119" s="27">
        <v>45830</v>
      </c>
      <c r="E119" s="28">
        <f t="shared" si="3"/>
        <v>45950</v>
      </c>
      <c r="F119" s="27" t="str">
        <f ca="1" t="shared" si="4"/>
        <v>Vencido</v>
      </c>
      <c r="G119" s="26" t="s">
        <v>29</v>
      </c>
      <c r="H119" s="29">
        <v>5</v>
      </c>
      <c r="I119" s="26" t="s">
        <v>37</v>
      </c>
      <c r="J119" s="30" t="s">
        <v>33</v>
      </c>
      <c r="K119" s="29"/>
      <c r="L119" s="30" t="s">
        <v>33</v>
      </c>
      <c r="M119" s="31"/>
      <c r="N119" s="31">
        <v>0</v>
      </c>
      <c r="O119" s="29" t="s">
        <v>33</v>
      </c>
      <c r="P119" s="29">
        <f t="shared" si="5"/>
        <v>5</v>
      </c>
    </row>
    <row r="120" ht="16.5" customHeight="1" spans="1:16">
      <c r="A120" s="26">
        <v>3349</v>
      </c>
      <c r="B120" s="26" t="s">
        <v>128</v>
      </c>
      <c r="C120" s="26" t="s">
        <v>28</v>
      </c>
      <c r="D120" s="27">
        <v>45831</v>
      </c>
      <c r="E120" s="28">
        <f t="shared" si="3"/>
        <v>45861</v>
      </c>
      <c r="F120" s="27" t="str">
        <f ca="1" t="shared" si="4"/>
        <v>Vencido</v>
      </c>
      <c r="G120" s="26" t="s">
        <v>33</v>
      </c>
      <c r="H120" s="29">
        <v>15</v>
      </c>
      <c r="I120" s="26" t="s">
        <v>30</v>
      </c>
      <c r="J120" s="30" t="s">
        <v>29</v>
      </c>
      <c r="K120" s="29">
        <v>30</v>
      </c>
      <c r="L120" s="30" t="s">
        <v>29</v>
      </c>
      <c r="M120" s="31">
        <v>20</v>
      </c>
      <c r="N120" s="31">
        <v>3</v>
      </c>
      <c r="O120" s="29" t="s">
        <v>29</v>
      </c>
      <c r="P120" s="29">
        <f t="shared" si="5"/>
        <v>62</v>
      </c>
    </row>
    <row r="121" s="10" customFormat="1" ht="16.5" customHeight="1" spans="1:16">
      <c r="A121" s="26">
        <v>3350</v>
      </c>
      <c r="B121" s="26" t="s">
        <v>153</v>
      </c>
      <c r="C121" s="26" t="s">
        <v>36</v>
      </c>
      <c r="D121" s="27">
        <v>45832</v>
      </c>
      <c r="E121" s="28">
        <f t="shared" si="3"/>
        <v>46192</v>
      </c>
      <c r="F121" s="27" t="str">
        <f ca="1" t="shared" si="4"/>
        <v>Vencido</v>
      </c>
      <c r="G121" s="26" t="s">
        <v>29</v>
      </c>
      <c r="H121" s="29">
        <v>10</v>
      </c>
      <c r="I121" s="26" t="s">
        <v>34</v>
      </c>
      <c r="J121" s="30" t="s">
        <v>33</v>
      </c>
      <c r="K121" s="29"/>
      <c r="L121" s="30" t="s">
        <v>29</v>
      </c>
      <c r="M121" s="31">
        <v>20</v>
      </c>
      <c r="N121" s="31">
        <v>15</v>
      </c>
      <c r="O121" s="29" t="s">
        <v>29</v>
      </c>
      <c r="P121" s="29">
        <f t="shared" si="5"/>
        <v>15</v>
      </c>
    </row>
    <row r="122" s="10" customFormat="1" ht="16.5" customHeight="1" spans="1:16">
      <c r="A122" s="26">
        <v>3351</v>
      </c>
      <c r="B122" s="26" t="s">
        <v>154</v>
      </c>
      <c r="C122" s="26" t="s">
        <v>32</v>
      </c>
      <c r="D122" s="27">
        <v>45833</v>
      </c>
      <c r="E122" s="28">
        <f t="shared" si="3"/>
        <v>45863</v>
      </c>
      <c r="F122" s="27" t="str">
        <f ca="1" t="shared" si="4"/>
        <v>Vencido</v>
      </c>
      <c r="G122" s="26" t="s">
        <v>33</v>
      </c>
      <c r="H122" s="29">
        <v>5</v>
      </c>
      <c r="I122" s="26" t="s">
        <v>30</v>
      </c>
      <c r="J122" s="30" t="s">
        <v>33</v>
      </c>
      <c r="K122" s="29"/>
      <c r="L122" s="30" t="s">
        <v>33</v>
      </c>
      <c r="M122" s="31"/>
      <c r="N122" s="31">
        <v>1</v>
      </c>
      <c r="O122" s="29" t="s">
        <v>29</v>
      </c>
      <c r="P122" s="29">
        <f t="shared" si="5"/>
        <v>4</v>
      </c>
    </row>
    <row r="123" ht="16.5" customHeight="1" spans="1:16">
      <c r="A123" s="26">
        <v>3352</v>
      </c>
      <c r="B123" s="26" t="s">
        <v>155</v>
      </c>
      <c r="C123" s="26" t="s">
        <v>28</v>
      </c>
      <c r="D123" s="27">
        <v>45834</v>
      </c>
      <c r="E123" s="28">
        <f t="shared" si="3"/>
        <v>45954</v>
      </c>
      <c r="F123" s="27" t="str">
        <f ca="1" t="shared" si="4"/>
        <v>Vencido</v>
      </c>
      <c r="G123" s="26" t="s">
        <v>29</v>
      </c>
      <c r="H123" s="29">
        <v>15</v>
      </c>
      <c r="I123" s="26" t="s">
        <v>37</v>
      </c>
      <c r="J123" s="30" t="s">
        <v>29</v>
      </c>
      <c r="K123" s="29">
        <v>30</v>
      </c>
      <c r="L123" s="30" t="s">
        <v>29</v>
      </c>
      <c r="M123" s="31">
        <v>20</v>
      </c>
      <c r="N123" s="31">
        <v>7</v>
      </c>
      <c r="O123" s="29" t="s">
        <v>29</v>
      </c>
      <c r="P123" s="29">
        <f t="shared" si="5"/>
        <v>58</v>
      </c>
    </row>
    <row r="124" s="10" customFormat="1" ht="16.5" customHeight="1" spans="1:16">
      <c r="A124" s="26">
        <v>3353</v>
      </c>
      <c r="B124" s="26" t="s">
        <v>156</v>
      </c>
      <c r="C124" s="26" t="s">
        <v>36</v>
      </c>
      <c r="D124" s="27">
        <v>45835</v>
      </c>
      <c r="E124" s="28">
        <f t="shared" si="3"/>
        <v>45865</v>
      </c>
      <c r="F124" s="27" t="str">
        <f ca="1" t="shared" si="4"/>
        <v>Vencido</v>
      </c>
      <c r="G124" s="26" t="s">
        <v>33</v>
      </c>
      <c r="H124" s="29">
        <v>10</v>
      </c>
      <c r="I124" s="26" t="s">
        <v>30</v>
      </c>
      <c r="J124" s="30" t="s">
        <v>33</v>
      </c>
      <c r="K124" s="29"/>
      <c r="L124" s="30" t="s">
        <v>29</v>
      </c>
      <c r="M124" s="31">
        <v>20</v>
      </c>
      <c r="N124" s="31">
        <v>10</v>
      </c>
      <c r="O124" s="29" t="s">
        <v>29</v>
      </c>
      <c r="P124" s="29">
        <f t="shared" si="5"/>
        <v>20</v>
      </c>
    </row>
    <row r="125" s="10" customFormat="1" ht="16.5" customHeight="1" spans="1:16">
      <c r="A125" s="26">
        <v>3354</v>
      </c>
      <c r="B125" s="26" t="s">
        <v>157</v>
      </c>
      <c r="C125" s="26" t="s">
        <v>32</v>
      </c>
      <c r="D125" s="27">
        <v>45836</v>
      </c>
      <c r="E125" s="28">
        <f t="shared" si="3"/>
        <v>46196</v>
      </c>
      <c r="F125" s="27" t="str">
        <f ca="1" t="shared" si="4"/>
        <v>Vencido</v>
      </c>
      <c r="G125" s="26" t="s">
        <v>29</v>
      </c>
      <c r="H125" s="29">
        <v>5</v>
      </c>
      <c r="I125" s="26" t="s">
        <v>34</v>
      </c>
      <c r="J125" s="30" t="s">
        <v>33</v>
      </c>
      <c r="K125" s="29"/>
      <c r="L125" s="30" t="s">
        <v>33</v>
      </c>
      <c r="M125" s="31"/>
      <c r="N125" s="31">
        <v>0</v>
      </c>
      <c r="O125" s="29" t="s">
        <v>33</v>
      </c>
      <c r="P125" s="29">
        <f t="shared" si="5"/>
        <v>5</v>
      </c>
    </row>
    <row r="126" ht="16.5" customHeight="1" spans="1:16">
      <c r="A126" s="26">
        <v>3355</v>
      </c>
      <c r="B126" s="26" t="s">
        <v>158</v>
      </c>
      <c r="C126" s="26" t="s">
        <v>28</v>
      </c>
      <c r="D126" s="27">
        <v>45837</v>
      </c>
      <c r="E126" s="28">
        <f t="shared" si="3"/>
        <v>45867</v>
      </c>
      <c r="F126" s="27" t="str">
        <f ca="1" t="shared" si="4"/>
        <v>Vencido</v>
      </c>
      <c r="G126" s="26" t="s">
        <v>33</v>
      </c>
      <c r="H126" s="29">
        <v>15</v>
      </c>
      <c r="I126" s="26" t="s">
        <v>30</v>
      </c>
      <c r="J126" s="30" t="s">
        <v>29</v>
      </c>
      <c r="K126" s="29">
        <v>30</v>
      </c>
      <c r="L126" s="30" t="s">
        <v>29</v>
      </c>
      <c r="M126" s="31">
        <v>20</v>
      </c>
      <c r="N126" s="31">
        <v>20</v>
      </c>
      <c r="O126" s="29" t="s">
        <v>29</v>
      </c>
      <c r="P126" s="29">
        <f t="shared" si="5"/>
        <v>45</v>
      </c>
    </row>
    <row r="127" s="10" customFormat="1" ht="16.5" customHeight="1" spans="1:16">
      <c r="A127" s="26">
        <v>3356</v>
      </c>
      <c r="B127" s="26" t="s">
        <v>159</v>
      </c>
      <c r="C127" s="26" t="s">
        <v>36</v>
      </c>
      <c r="D127" s="27">
        <v>45838</v>
      </c>
      <c r="E127" s="28">
        <f t="shared" si="3"/>
        <v>45958</v>
      </c>
      <c r="F127" s="27" t="str">
        <f ca="1" t="shared" si="4"/>
        <v>Vencido</v>
      </c>
      <c r="G127" s="26" t="s">
        <v>29</v>
      </c>
      <c r="H127" s="29">
        <v>10</v>
      </c>
      <c r="I127" s="26" t="s">
        <v>37</v>
      </c>
      <c r="J127" s="30" t="s">
        <v>33</v>
      </c>
      <c r="K127" s="29"/>
      <c r="L127" s="30" t="s">
        <v>29</v>
      </c>
      <c r="M127" s="31">
        <v>20</v>
      </c>
      <c r="N127" s="31">
        <v>15</v>
      </c>
      <c r="O127" s="29" t="s">
        <v>29</v>
      </c>
      <c r="P127" s="29">
        <f t="shared" si="5"/>
        <v>15</v>
      </c>
    </row>
    <row r="128" s="10" customFormat="1" ht="16.5" customHeight="1" spans="1:16">
      <c r="A128" s="26">
        <v>3357</v>
      </c>
      <c r="B128" s="26" t="s">
        <v>160</v>
      </c>
      <c r="C128" s="26" t="s">
        <v>32</v>
      </c>
      <c r="D128" s="27">
        <v>45839</v>
      </c>
      <c r="E128" s="28">
        <f t="shared" si="3"/>
        <v>45869</v>
      </c>
      <c r="F128" s="27" t="str">
        <f ca="1" t="shared" si="4"/>
        <v>Vencido</v>
      </c>
      <c r="G128" s="26" t="s">
        <v>33</v>
      </c>
      <c r="H128" s="29">
        <v>5</v>
      </c>
      <c r="I128" s="26" t="s">
        <v>30</v>
      </c>
      <c r="J128" s="30" t="s">
        <v>33</v>
      </c>
      <c r="K128" s="29"/>
      <c r="L128" s="30" t="s">
        <v>33</v>
      </c>
      <c r="M128" s="31"/>
      <c r="N128" s="31">
        <v>1</v>
      </c>
      <c r="O128" s="29" t="s">
        <v>29</v>
      </c>
      <c r="P128" s="29">
        <f t="shared" si="5"/>
        <v>4</v>
      </c>
    </row>
    <row r="129" ht="16.5" customHeight="1" spans="1:16">
      <c r="A129" s="26">
        <v>3358</v>
      </c>
      <c r="B129" s="26" t="s">
        <v>161</v>
      </c>
      <c r="C129" s="26" t="s">
        <v>28</v>
      </c>
      <c r="D129" s="27">
        <v>45840</v>
      </c>
      <c r="E129" s="28">
        <f t="shared" si="3"/>
        <v>46200</v>
      </c>
      <c r="F129" s="27" t="str">
        <f ca="1" t="shared" si="4"/>
        <v>Vencido</v>
      </c>
      <c r="G129" s="26" t="s">
        <v>29</v>
      </c>
      <c r="H129" s="29">
        <v>15</v>
      </c>
      <c r="I129" s="26" t="s">
        <v>34</v>
      </c>
      <c r="J129" s="30" t="s">
        <v>29</v>
      </c>
      <c r="K129" s="29">
        <v>30</v>
      </c>
      <c r="L129" s="30" t="s">
        <v>29</v>
      </c>
      <c r="M129" s="31">
        <v>20</v>
      </c>
      <c r="N129" s="31">
        <v>3</v>
      </c>
      <c r="O129" s="29" t="s">
        <v>29</v>
      </c>
      <c r="P129" s="29">
        <f t="shared" si="5"/>
        <v>62</v>
      </c>
    </row>
    <row r="130" s="10" customFormat="1" ht="16.5" customHeight="1" spans="1:16">
      <c r="A130" s="26">
        <v>3359</v>
      </c>
      <c r="B130" s="26" t="s">
        <v>162</v>
      </c>
      <c r="C130" s="26" t="s">
        <v>36</v>
      </c>
      <c r="D130" s="27">
        <v>45841</v>
      </c>
      <c r="E130" s="28">
        <f t="shared" ref="E130:E193" si="6">IF(I130="Monthly",(D130+30),IF(I130="Annual",(D130+360),D130+120))</f>
        <v>45871</v>
      </c>
      <c r="F130" s="27" t="str">
        <f ca="1" t="shared" ref="F130:F193" si="7">IF(TODAY()&lt;E130,"A vencer","Vencido")</f>
        <v>Vencido</v>
      </c>
      <c r="G130" s="26" t="s">
        <v>33</v>
      </c>
      <c r="H130" s="29">
        <v>10</v>
      </c>
      <c r="I130" s="26" t="s">
        <v>30</v>
      </c>
      <c r="J130" s="30" t="s">
        <v>33</v>
      </c>
      <c r="K130" s="29"/>
      <c r="L130" s="30" t="s">
        <v>29</v>
      </c>
      <c r="M130" s="31">
        <v>20</v>
      </c>
      <c r="N130" s="31">
        <v>10</v>
      </c>
      <c r="O130" s="29" t="s">
        <v>29</v>
      </c>
      <c r="P130" s="29">
        <f t="shared" si="5"/>
        <v>20</v>
      </c>
    </row>
    <row r="131" s="10" customFormat="1" ht="16.5" customHeight="1" spans="1:16">
      <c r="A131" s="26">
        <v>3360</v>
      </c>
      <c r="B131" s="26" t="s">
        <v>163</v>
      </c>
      <c r="C131" s="26" t="s">
        <v>32</v>
      </c>
      <c r="D131" s="27">
        <v>45842</v>
      </c>
      <c r="E131" s="28">
        <f t="shared" si="6"/>
        <v>45962</v>
      </c>
      <c r="F131" s="27" t="str">
        <f ca="1" t="shared" si="7"/>
        <v>Vencido</v>
      </c>
      <c r="G131" s="26" t="s">
        <v>29</v>
      </c>
      <c r="H131" s="29">
        <v>5</v>
      </c>
      <c r="I131" s="26" t="s">
        <v>37</v>
      </c>
      <c r="J131" s="30" t="s">
        <v>33</v>
      </c>
      <c r="K131" s="29"/>
      <c r="L131" s="30" t="s">
        <v>33</v>
      </c>
      <c r="M131" s="31"/>
      <c r="N131" s="31">
        <v>0</v>
      </c>
      <c r="O131" s="29" t="s">
        <v>33</v>
      </c>
      <c r="P131" s="29">
        <f t="shared" ref="P131:P194" si="8">(H131+K131+M131)-N131</f>
        <v>5</v>
      </c>
    </row>
    <row r="132" ht="16.5" customHeight="1" spans="1:16">
      <c r="A132" s="26">
        <v>3361</v>
      </c>
      <c r="B132" s="26" t="s">
        <v>164</v>
      </c>
      <c r="C132" s="26" t="s">
        <v>28</v>
      </c>
      <c r="D132" s="27">
        <v>45843</v>
      </c>
      <c r="E132" s="28">
        <f t="shared" si="6"/>
        <v>45873</v>
      </c>
      <c r="F132" s="27" t="str">
        <f ca="1" t="shared" si="7"/>
        <v>Vencido</v>
      </c>
      <c r="G132" s="26" t="s">
        <v>33</v>
      </c>
      <c r="H132" s="29">
        <v>15</v>
      </c>
      <c r="I132" s="26" t="s">
        <v>30</v>
      </c>
      <c r="J132" s="30" t="s">
        <v>29</v>
      </c>
      <c r="K132" s="29">
        <v>30</v>
      </c>
      <c r="L132" s="30" t="s">
        <v>29</v>
      </c>
      <c r="M132" s="31">
        <v>20</v>
      </c>
      <c r="N132" s="31">
        <v>15</v>
      </c>
      <c r="O132" s="29" t="s">
        <v>29</v>
      </c>
      <c r="P132" s="29">
        <f t="shared" si="8"/>
        <v>50</v>
      </c>
    </row>
    <row r="133" s="10" customFormat="1" ht="16.5" customHeight="1" spans="1:16">
      <c r="A133" s="26">
        <v>3362</v>
      </c>
      <c r="B133" s="26" t="s">
        <v>165</v>
      </c>
      <c r="C133" s="26" t="s">
        <v>36</v>
      </c>
      <c r="D133" s="27">
        <v>45844</v>
      </c>
      <c r="E133" s="28">
        <f t="shared" si="6"/>
        <v>46204</v>
      </c>
      <c r="F133" s="27" t="str">
        <f ca="1" t="shared" si="7"/>
        <v>Vencido</v>
      </c>
      <c r="G133" s="26" t="s">
        <v>29</v>
      </c>
      <c r="H133" s="29">
        <v>10</v>
      </c>
      <c r="I133" s="26" t="s">
        <v>34</v>
      </c>
      <c r="J133" s="30" t="s">
        <v>33</v>
      </c>
      <c r="K133" s="29"/>
      <c r="L133" s="30" t="s">
        <v>29</v>
      </c>
      <c r="M133" s="31">
        <v>20</v>
      </c>
      <c r="N133" s="31">
        <v>15</v>
      </c>
      <c r="O133" s="29" t="s">
        <v>29</v>
      </c>
      <c r="P133" s="29">
        <f t="shared" si="8"/>
        <v>15</v>
      </c>
    </row>
    <row r="134" s="10" customFormat="1" ht="16.5" customHeight="1" spans="1:16">
      <c r="A134" s="26">
        <v>3363</v>
      </c>
      <c r="B134" s="26" t="s">
        <v>166</v>
      </c>
      <c r="C134" s="26" t="s">
        <v>32</v>
      </c>
      <c r="D134" s="27">
        <v>45845</v>
      </c>
      <c r="E134" s="28">
        <f t="shared" si="6"/>
        <v>45875</v>
      </c>
      <c r="F134" s="27" t="str">
        <f ca="1" t="shared" si="7"/>
        <v>Vencido</v>
      </c>
      <c r="G134" s="26" t="s">
        <v>33</v>
      </c>
      <c r="H134" s="29">
        <v>5</v>
      </c>
      <c r="I134" s="26" t="s">
        <v>30</v>
      </c>
      <c r="J134" s="30" t="s">
        <v>33</v>
      </c>
      <c r="K134" s="29"/>
      <c r="L134" s="30" t="s">
        <v>33</v>
      </c>
      <c r="M134" s="31"/>
      <c r="N134" s="31">
        <v>1</v>
      </c>
      <c r="O134" s="29" t="s">
        <v>29</v>
      </c>
      <c r="P134" s="29">
        <f t="shared" si="8"/>
        <v>4</v>
      </c>
    </row>
    <row r="135" ht="16.5" customHeight="1" spans="1:16">
      <c r="A135" s="26">
        <v>3364</v>
      </c>
      <c r="B135" s="26" t="s">
        <v>167</v>
      </c>
      <c r="C135" s="26" t="s">
        <v>28</v>
      </c>
      <c r="D135" s="27">
        <v>45846</v>
      </c>
      <c r="E135" s="28">
        <f t="shared" si="6"/>
        <v>45966</v>
      </c>
      <c r="F135" s="27" t="str">
        <f ca="1" t="shared" si="7"/>
        <v>Vencido</v>
      </c>
      <c r="G135" s="26" t="s">
        <v>29</v>
      </c>
      <c r="H135" s="29">
        <v>15</v>
      </c>
      <c r="I135" s="26" t="s">
        <v>37</v>
      </c>
      <c r="J135" s="30" t="s">
        <v>29</v>
      </c>
      <c r="K135" s="29">
        <v>30</v>
      </c>
      <c r="L135" s="30" t="s">
        <v>29</v>
      </c>
      <c r="M135" s="31">
        <v>20</v>
      </c>
      <c r="N135" s="31">
        <v>7</v>
      </c>
      <c r="O135" s="29" t="s">
        <v>29</v>
      </c>
      <c r="P135" s="29">
        <f t="shared" si="8"/>
        <v>58</v>
      </c>
    </row>
    <row r="136" s="10" customFormat="1" ht="16.5" customHeight="1" spans="1:16">
      <c r="A136" s="26">
        <v>3365</v>
      </c>
      <c r="B136" s="26" t="s">
        <v>168</v>
      </c>
      <c r="C136" s="26" t="s">
        <v>36</v>
      </c>
      <c r="D136" s="27">
        <v>45847</v>
      </c>
      <c r="E136" s="28">
        <f t="shared" si="6"/>
        <v>45877</v>
      </c>
      <c r="F136" s="27" t="str">
        <f ca="1" t="shared" si="7"/>
        <v>Vencido</v>
      </c>
      <c r="G136" s="26" t="s">
        <v>33</v>
      </c>
      <c r="H136" s="29">
        <v>10</v>
      </c>
      <c r="I136" s="26" t="s">
        <v>30</v>
      </c>
      <c r="J136" s="30" t="s">
        <v>33</v>
      </c>
      <c r="K136" s="29"/>
      <c r="L136" s="30" t="s">
        <v>29</v>
      </c>
      <c r="M136" s="31">
        <v>20</v>
      </c>
      <c r="N136" s="31">
        <v>10</v>
      </c>
      <c r="O136" s="29" t="s">
        <v>29</v>
      </c>
      <c r="P136" s="29">
        <f t="shared" si="8"/>
        <v>20</v>
      </c>
    </row>
    <row r="137" s="10" customFormat="1" ht="16.5" customHeight="1" spans="1:16">
      <c r="A137" s="26">
        <v>3366</v>
      </c>
      <c r="B137" s="26" t="s">
        <v>169</v>
      </c>
      <c r="C137" s="26" t="s">
        <v>32</v>
      </c>
      <c r="D137" s="27">
        <v>45848</v>
      </c>
      <c r="E137" s="28">
        <f t="shared" si="6"/>
        <v>45878</v>
      </c>
      <c r="F137" s="27" t="str">
        <f ca="1" t="shared" si="7"/>
        <v>Vencido</v>
      </c>
      <c r="G137" s="26" t="s">
        <v>29</v>
      </c>
      <c r="H137" s="29">
        <v>5</v>
      </c>
      <c r="I137" s="26" t="s">
        <v>30</v>
      </c>
      <c r="J137" s="30" t="s">
        <v>33</v>
      </c>
      <c r="K137" s="29"/>
      <c r="L137" s="30" t="s">
        <v>33</v>
      </c>
      <c r="M137" s="31"/>
      <c r="N137" s="31">
        <v>0</v>
      </c>
      <c r="O137" s="29" t="s">
        <v>33</v>
      </c>
      <c r="P137" s="29">
        <f t="shared" si="8"/>
        <v>5</v>
      </c>
    </row>
    <row r="138" ht="16.5" customHeight="1" spans="1:16">
      <c r="A138" s="26">
        <v>3367</v>
      </c>
      <c r="B138" s="26" t="s">
        <v>170</v>
      </c>
      <c r="C138" s="26" t="s">
        <v>28</v>
      </c>
      <c r="D138" s="27">
        <v>45849</v>
      </c>
      <c r="E138" s="28">
        <f t="shared" si="6"/>
        <v>45969</v>
      </c>
      <c r="F138" s="27" t="str">
        <f ca="1" t="shared" si="7"/>
        <v>Vencido</v>
      </c>
      <c r="G138" s="26" t="s">
        <v>33</v>
      </c>
      <c r="H138" s="29">
        <v>15</v>
      </c>
      <c r="I138" s="26" t="s">
        <v>37</v>
      </c>
      <c r="J138" s="30" t="s">
        <v>29</v>
      </c>
      <c r="K138" s="29">
        <v>30</v>
      </c>
      <c r="L138" s="30" t="s">
        <v>29</v>
      </c>
      <c r="M138" s="31">
        <v>20</v>
      </c>
      <c r="N138" s="31">
        <v>7</v>
      </c>
      <c r="O138" s="29" t="s">
        <v>29</v>
      </c>
      <c r="P138" s="29">
        <f t="shared" si="8"/>
        <v>58</v>
      </c>
    </row>
    <row r="139" s="10" customFormat="1" ht="16.5" customHeight="1" spans="1:16">
      <c r="A139" s="26">
        <v>3368</v>
      </c>
      <c r="B139" s="26" t="s">
        <v>171</v>
      </c>
      <c r="C139" s="26" t="s">
        <v>36</v>
      </c>
      <c r="D139" s="27">
        <v>45850</v>
      </c>
      <c r="E139" s="28">
        <f t="shared" si="6"/>
        <v>46210</v>
      </c>
      <c r="F139" s="27" t="str">
        <f ca="1" t="shared" si="7"/>
        <v>Vencido</v>
      </c>
      <c r="G139" s="26" t="s">
        <v>29</v>
      </c>
      <c r="H139" s="29">
        <v>10</v>
      </c>
      <c r="I139" s="26" t="s">
        <v>34</v>
      </c>
      <c r="J139" s="30" t="s">
        <v>33</v>
      </c>
      <c r="K139" s="29"/>
      <c r="L139" s="30" t="s">
        <v>29</v>
      </c>
      <c r="M139" s="31">
        <v>20</v>
      </c>
      <c r="N139" s="31">
        <v>10</v>
      </c>
      <c r="O139" s="29" t="s">
        <v>29</v>
      </c>
      <c r="P139" s="29">
        <f t="shared" si="8"/>
        <v>20</v>
      </c>
    </row>
    <row r="140" s="10" customFormat="1" ht="16.5" customHeight="1" spans="1:16">
      <c r="A140" s="26">
        <v>3369</v>
      </c>
      <c r="B140" s="26" t="s">
        <v>172</v>
      </c>
      <c r="C140" s="26" t="s">
        <v>32</v>
      </c>
      <c r="D140" s="27">
        <v>45851</v>
      </c>
      <c r="E140" s="28">
        <f t="shared" si="6"/>
        <v>45971</v>
      </c>
      <c r="F140" s="27" t="str">
        <f ca="1" t="shared" si="7"/>
        <v>Vencido</v>
      </c>
      <c r="G140" s="26" t="s">
        <v>33</v>
      </c>
      <c r="H140" s="29">
        <v>5</v>
      </c>
      <c r="I140" s="26" t="s">
        <v>37</v>
      </c>
      <c r="J140" s="30" t="s">
        <v>33</v>
      </c>
      <c r="K140" s="29"/>
      <c r="L140" s="30" t="s">
        <v>33</v>
      </c>
      <c r="M140" s="31"/>
      <c r="N140" s="31">
        <v>1</v>
      </c>
      <c r="O140" s="29" t="s">
        <v>29</v>
      </c>
      <c r="P140" s="29">
        <f t="shared" si="8"/>
        <v>4</v>
      </c>
    </row>
    <row r="141" ht="16.5" customHeight="1" spans="1:16">
      <c r="A141" s="26">
        <v>3370</v>
      </c>
      <c r="B141" s="26" t="s">
        <v>173</v>
      </c>
      <c r="C141" s="26" t="s">
        <v>28</v>
      </c>
      <c r="D141" s="27">
        <v>45852</v>
      </c>
      <c r="E141" s="28">
        <f t="shared" si="6"/>
        <v>45882</v>
      </c>
      <c r="F141" s="27" t="str">
        <f ca="1" t="shared" si="7"/>
        <v>Vencido</v>
      </c>
      <c r="G141" s="26" t="s">
        <v>29</v>
      </c>
      <c r="H141" s="29">
        <v>15</v>
      </c>
      <c r="I141" s="26" t="s">
        <v>30</v>
      </c>
      <c r="J141" s="30" t="s">
        <v>29</v>
      </c>
      <c r="K141" s="29">
        <v>30</v>
      </c>
      <c r="L141" s="30" t="s">
        <v>29</v>
      </c>
      <c r="M141" s="31">
        <v>20</v>
      </c>
      <c r="N141" s="31">
        <v>15</v>
      </c>
      <c r="O141" s="29" t="s">
        <v>29</v>
      </c>
      <c r="P141" s="29">
        <f t="shared" si="8"/>
        <v>50</v>
      </c>
    </row>
    <row r="142" s="10" customFormat="1" ht="16.5" customHeight="1" spans="1:16">
      <c r="A142" s="26">
        <v>3371</v>
      </c>
      <c r="B142" s="26" t="s">
        <v>174</v>
      </c>
      <c r="C142" s="26" t="s">
        <v>36</v>
      </c>
      <c r="D142" s="27">
        <v>45853</v>
      </c>
      <c r="E142" s="28">
        <f t="shared" si="6"/>
        <v>45883</v>
      </c>
      <c r="F142" s="27" t="str">
        <f ca="1" t="shared" si="7"/>
        <v>Vencido</v>
      </c>
      <c r="G142" s="26" t="s">
        <v>33</v>
      </c>
      <c r="H142" s="29">
        <v>10</v>
      </c>
      <c r="I142" s="26" t="s">
        <v>30</v>
      </c>
      <c r="J142" s="30" t="s">
        <v>33</v>
      </c>
      <c r="K142" s="29"/>
      <c r="L142" s="30" t="s">
        <v>29</v>
      </c>
      <c r="M142" s="31">
        <v>20</v>
      </c>
      <c r="N142" s="31">
        <v>5</v>
      </c>
      <c r="O142" s="29" t="s">
        <v>29</v>
      </c>
      <c r="P142" s="29">
        <f t="shared" si="8"/>
        <v>25</v>
      </c>
    </row>
    <row r="143" s="10" customFormat="1" ht="16.5" customHeight="1" spans="1:16">
      <c r="A143" s="26">
        <v>3372</v>
      </c>
      <c r="B143" s="26" t="s">
        <v>175</v>
      </c>
      <c r="C143" s="26" t="s">
        <v>32</v>
      </c>
      <c r="D143" s="27">
        <v>45854</v>
      </c>
      <c r="E143" s="28">
        <f t="shared" si="6"/>
        <v>46214</v>
      </c>
      <c r="F143" s="27" t="str">
        <f ca="1" t="shared" si="7"/>
        <v>Vencido</v>
      </c>
      <c r="G143" s="26" t="s">
        <v>29</v>
      </c>
      <c r="H143" s="29">
        <v>5</v>
      </c>
      <c r="I143" s="26" t="s">
        <v>34</v>
      </c>
      <c r="J143" s="30" t="s">
        <v>33</v>
      </c>
      <c r="K143" s="29"/>
      <c r="L143" s="30" t="s">
        <v>33</v>
      </c>
      <c r="M143" s="31"/>
      <c r="N143" s="31">
        <v>0</v>
      </c>
      <c r="O143" s="29" t="s">
        <v>33</v>
      </c>
      <c r="P143" s="29">
        <f t="shared" si="8"/>
        <v>5</v>
      </c>
    </row>
    <row r="144" ht="16.5" customHeight="1" spans="1:16">
      <c r="A144" s="26">
        <v>3373</v>
      </c>
      <c r="B144" s="26" t="s">
        <v>176</v>
      </c>
      <c r="C144" s="26" t="s">
        <v>28</v>
      </c>
      <c r="D144" s="27">
        <v>45855</v>
      </c>
      <c r="E144" s="28">
        <f t="shared" si="6"/>
        <v>45975</v>
      </c>
      <c r="F144" s="27" t="str">
        <f ca="1" t="shared" si="7"/>
        <v>Vencido</v>
      </c>
      <c r="G144" s="26" t="s">
        <v>33</v>
      </c>
      <c r="H144" s="29">
        <v>15</v>
      </c>
      <c r="I144" s="26" t="s">
        <v>37</v>
      </c>
      <c r="J144" s="30" t="s">
        <v>29</v>
      </c>
      <c r="K144" s="29">
        <v>30</v>
      </c>
      <c r="L144" s="30" t="s">
        <v>29</v>
      </c>
      <c r="M144" s="31">
        <v>20</v>
      </c>
      <c r="N144" s="31">
        <v>20</v>
      </c>
      <c r="O144" s="29" t="s">
        <v>29</v>
      </c>
      <c r="P144" s="29">
        <f t="shared" si="8"/>
        <v>45</v>
      </c>
    </row>
    <row r="145" s="10" customFormat="1" ht="16.5" customHeight="1" spans="1:16">
      <c r="A145" s="26">
        <v>3374</v>
      </c>
      <c r="B145" s="26" t="s">
        <v>177</v>
      </c>
      <c r="C145" s="26" t="s">
        <v>36</v>
      </c>
      <c r="D145" s="27">
        <v>45856</v>
      </c>
      <c r="E145" s="28">
        <f t="shared" si="6"/>
        <v>45976</v>
      </c>
      <c r="F145" s="27" t="str">
        <f ca="1" t="shared" si="7"/>
        <v>Vencido</v>
      </c>
      <c r="G145" s="26" t="s">
        <v>29</v>
      </c>
      <c r="H145" s="29">
        <v>10</v>
      </c>
      <c r="I145" s="26" t="s">
        <v>37</v>
      </c>
      <c r="J145" s="30" t="s">
        <v>33</v>
      </c>
      <c r="K145" s="29"/>
      <c r="L145" s="30" t="s">
        <v>29</v>
      </c>
      <c r="M145" s="31">
        <v>20</v>
      </c>
      <c r="N145" s="31">
        <v>12</v>
      </c>
      <c r="O145" s="29" t="s">
        <v>29</v>
      </c>
      <c r="P145" s="29">
        <f t="shared" si="8"/>
        <v>18</v>
      </c>
    </row>
    <row r="146" s="10" customFormat="1" ht="16.5" customHeight="1" spans="1:16">
      <c r="A146" s="26">
        <v>3375</v>
      </c>
      <c r="B146" s="26" t="s">
        <v>178</v>
      </c>
      <c r="C146" s="26" t="s">
        <v>32</v>
      </c>
      <c r="D146" s="27">
        <v>45857</v>
      </c>
      <c r="E146" s="28">
        <f t="shared" si="6"/>
        <v>45887</v>
      </c>
      <c r="F146" s="27" t="str">
        <f ca="1" t="shared" si="7"/>
        <v>Vencido</v>
      </c>
      <c r="G146" s="26" t="s">
        <v>33</v>
      </c>
      <c r="H146" s="29">
        <v>5</v>
      </c>
      <c r="I146" s="26" t="s">
        <v>30</v>
      </c>
      <c r="J146" s="30" t="s">
        <v>33</v>
      </c>
      <c r="K146" s="29"/>
      <c r="L146" s="30" t="s">
        <v>33</v>
      </c>
      <c r="M146" s="31"/>
      <c r="N146" s="31">
        <v>2</v>
      </c>
      <c r="O146" s="29" t="s">
        <v>29</v>
      </c>
      <c r="P146" s="29">
        <f t="shared" si="8"/>
        <v>3</v>
      </c>
    </row>
    <row r="147" ht="16.5" customHeight="1" spans="1:16">
      <c r="A147" s="26">
        <v>3376</v>
      </c>
      <c r="B147" s="26" t="s">
        <v>179</v>
      </c>
      <c r="C147" s="26" t="s">
        <v>28</v>
      </c>
      <c r="D147" s="27">
        <v>45858</v>
      </c>
      <c r="E147" s="28">
        <f t="shared" si="6"/>
        <v>46218</v>
      </c>
      <c r="F147" s="27" t="str">
        <f ca="1" t="shared" si="7"/>
        <v>Vencido</v>
      </c>
      <c r="G147" s="26" t="s">
        <v>29</v>
      </c>
      <c r="H147" s="29">
        <v>15</v>
      </c>
      <c r="I147" s="26" t="s">
        <v>34</v>
      </c>
      <c r="J147" s="30" t="s">
        <v>29</v>
      </c>
      <c r="K147" s="29">
        <v>30</v>
      </c>
      <c r="L147" s="30" t="s">
        <v>29</v>
      </c>
      <c r="M147" s="31">
        <v>20</v>
      </c>
      <c r="N147" s="31">
        <v>5</v>
      </c>
      <c r="O147" s="29" t="s">
        <v>29</v>
      </c>
      <c r="P147" s="29">
        <f t="shared" si="8"/>
        <v>60</v>
      </c>
    </row>
    <row r="148" s="10" customFormat="1" ht="16.5" customHeight="1" spans="1:16">
      <c r="A148" s="26">
        <v>3377</v>
      </c>
      <c r="B148" s="26" t="s">
        <v>180</v>
      </c>
      <c r="C148" s="26" t="s">
        <v>36</v>
      </c>
      <c r="D148" s="27">
        <v>45859</v>
      </c>
      <c r="E148" s="28">
        <f t="shared" si="6"/>
        <v>45889</v>
      </c>
      <c r="F148" s="27" t="str">
        <f ca="1" t="shared" si="7"/>
        <v>Vencido</v>
      </c>
      <c r="G148" s="26" t="s">
        <v>33</v>
      </c>
      <c r="H148" s="29">
        <v>10</v>
      </c>
      <c r="I148" s="26" t="s">
        <v>30</v>
      </c>
      <c r="J148" s="30" t="s">
        <v>33</v>
      </c>
      <c r="K148" s="29"/>
      <c r="L148" s="30" t="s">
        <v>29</v>
      </c>
      <c r="M148" s="31">
        <v>20</v>
      </c>
      <c r="N148" s="31">
        <v>10</v>
      </c>
      <c r="O148" s="29" t="s">
        <v>29</v>
      </c>
      <c r="P148" s="29">
        <f t="shared" si="8"/>
        <v>20</v>
      </c>
    </row>
    <row r="149" s="10" customFormat="1" ht="16.5" customHeight="1" spans="1:16">
      <c r="A149" s="26">
        <v>3378</v>
      </c>
      <c r="B149" s="26" t="s">
        <v>181</v>
      </c>
      <c r="C149" s="26" t="s">
        <v>32</v>
      </c>
      <c r="D149" s="27">
        <v>45860</v>
      </c>
      <c r="E149" s="28">
        <f t="shared" si="6"/>
        <v>45980</v>
      </c>
      <c r="F149" s="27" t="str">
        <f ca="1" t="shared" si="7"/>
        <v>Vencido</v>
      </c>
      <c r="G149" s="26" t="s">
        <v>29</v>
      </c>
      <c r="H149" s="29">
        <v>5</v>
      </c>
      <c r="I149" s="26" t="s">
        <v>37</v>
      </c>
      <c r="J149" s="30" t="s">
        <v>33</v>
      </c>
      <c r="K149" s="29"/>
      <c r="L149" s="30" t="s">
        <v>33</v>
      </c>
      <c r="M149" s="31"/>
      <c r="N149" s="31">
        <v>0</v>
      </c>
      <c r="O149" s="29" t="s">
        <v>33</v>
      </c>
      <c r="P149" s="29">
        <f t="shared" si="8"/>
        <v>5</v>
      </c>
    </row>
    <row r="150" ht="16.5" customHeight="1" spans="1:16">
      <c r="A150" s="26">
        <v>3379</v>
      </c>
      <c r="B150" s="26" t="s">
        <v>182</v>
      </c>
      <c r="C150" s="26" t="s">
        <v>28</v>
      </c>
      <c r="D150" s="27">
        <v>45861</v>
      </c>
      <c r="E150" s="28">
        <f t="shared" si="6"/>
        <v>45891</v>
      </c>
      <c r="F150" s="27" t="str">
        <f ca="1" t="shared" si="7"/>
        <v>Vencido</v>
      </c>
      <c r="G150" s="26" t="s">
        <v>33</v>
      </c>
      <c r="H150" s="29">
        <v>15</v>
      </c>
      <c r="I150" s="26" t="s">
        <v>30</v>
      </c>
      <c r="J150" s="30" t="s">
        <v>29</v>
      </c>
      <c r="K150" s="29">
        <v>30</v>
      </c>
      <c r="L150" s="30" t="s">
        <v>29</v>
      </c>
      <c r="M150" s="31">
        <v>20</v>
      </c>
      <c r="N150" s="31">
        <v>3</v>
      </c>
      <c r="O150" s="29" t="s">
        <v>29</v>
      </c>
      <c r="P150" s="29">
        <f t="shared" si="8"/>
        <v>62</v>
      </c>
    </row>
    <row r="151" s="10" customFormat="1" ht="16.5" customHeight="1" spans="1:16">
      <c r="A151" s="26">
        <v>3380</v>
      </c>
      <c r="B151" s="26" t="s">
        <v>183</v>
      </c>
      <c r="C151" s="26" t="s">
        <v>36</v>
      </c>
      <c r="D151" s="27">
        <v>45862</v>
      </c>
      <c r="E151" s="28">
        <f t="shared" si="6"/>
        <v>46222</v>
      </c>
      <c r="F151" s="27" t="str">
        <f ca="1" t="shared" si="7"/>
        <v>Vencido</v>
      </c>
      <c r="G151" s="26" t="s">
        <v>29</v>
      </c>
      <c r="H151" s="29">
        <v>10</v>
      </c>
      <c r="I151" s="26" t="s">
        <v>34</v>
      </c>
      <c r="J151" s="30" t="s">
        <v>33</v>
      </c>
      <c r="K151" s="29"/>
      <c r="L151" s="30" t="s">
        <v>29</v>
      </c>
      <c r="M151" s="31">
        <v>20</v>
      </c>
      <c r="N151" s="31">
        <v>15</v>
      </c>
      <c r="O151" s="29" t="s">
        <v>29</v>
      </c>
      <c r="P151" s="29">
        <f t="shared" si="8"/>
        <v>15</v>
      </c>
    </row>
    <row r="152" s="10" customFormat="1" ht="16.5" customHeight="1" spans="1:16">
      <c r="A152" s="26">
        <v>3381</v>
      </c>
      <c r="B152" s="26" t="s">
        <v>184</v>
      </c>
      <c r="C152" s="26" t="s">
        <v>32</v>
      </c>
      <c r="D152" s="27">
        <v>45863</v>
      </c>
      <c r="E152" s="28">
        <f t="shared" si="6"/>
        <v>45893</v>
      </c>
      <c r="F152" s="27" t="str">
        <f ca="1" t="shared" si="7"/>
        <v>Vencido</v>
      </c>
      <c r="G152" s="26" t="s">
        <v>33</v>
      </c>
      <c r="H152" s="29">
        <v>5</v>
      </c>
      <c r="I152" s="26" t="s">
        <v>30</v>
      </c>
      <c r="J152" s="30" t="s">
        <v>33</v>
      </c>
      <c r="K152" s="29"/>
      <c r="L152" s="30" t="s">
        <v>33</v>
      </c>
      <c r="M152" s="31"/>
      <c r="N152" s="31">
        <v>1</v>
      </c>
      <c r="O152" s="29" t="s">
        <v>29</v>
      </c>
      <c r="P152" s="29">
        <f t="shared" si="8"/>
        <v>4</v>
      </c>
    </row>
    <row r="153" ht="16.5" customHeight="1" spans="1:16">
      <c r="A153" s="26">
        <v>3382</v>
      </c>
      <c r="B153" s="26" t="s">
        <v>185</v>
      </c>
      <c r="C153" s="26" t="s">
        <v>28</v>
      </c>
      <c r="D153" s="27">
        <v>45864</v>
      </c>
      <c r="E153" s="28">
        <f t="shared" si="6"/>
        <v>45984</v>
      </c>
      <c r="F153" s="27" t="str">
        <f ca="1" t="shared" si="7"/>
        <v>Vencido</v>
      </c>
      <c r="G153" s="26" t="s">
        <v>29</v>
      </c>
      <c r="H153" s="29">
        <v>15</v>
      </c>
      <c r="I153" s="26" t="s">
        <v>37</v>
      </c>
      <c r="J153" s="30" t="s">
        <v>29</v>
      </c>
      <c r="K153" s="29">
        <v>30</v>
      </c>
      <c r="L153" s="30" t="s">
        <v>29</v>
      </c>
      <c r="M153" s="31">
        <v>20</v>
      </c>
      <c r="N153" s="31">
        <v>7</v>
      </c>
      <c r="O153" s="29" t="s">
        <v>29</v>
      </c>
      <c r="P153" s="29">
        <f t="shared" si="8"/>
        <v>58</v>
      </c>
    </row>
    <row r="154" s="10" customFormat="1" ht="16.5" customHeight="1" spans="1:16">
      <c r="A154" s="26">
        <v>3383</v>
      </c>
      <c r="B154" s="26" t="s">
        <v>186</v>
      </c>
      <c r="C154" s="26" t="s">
        <v>36</v>
      </c>
      <c r="D154" s="27">
        <v>45865</v>
      </c>
      <c r="E154" s="28">
        <f t="shared" si="6"/>
        <v>45895</v>
      </c>
      <c r="F154" s="27" t="str">
        <f ca="1" t="shared" si="7"/>
        <v>Vencido</v>
      </c>
      <c r="G154" s="26" t="s">
        <v>33</v>
      </c>
      <c r="H154" s="29">
        <v>10</v>
      </c>
      <c r="I154" s="26" t="s">
        <v>30</v>
      </c>
      <c r="J154" s="30" t="s">
        <v>33</v>
      </c>
      <c r="K154" s="29"/>
      <c r="L154" s="30" t="s">
        <v>29</v>
      </c>
      <c r="M154" s="31">
        <v>20</v>
      </c>
      <c r="N154" s="31">
        <v>10</v>
      </c>
      <c r="O154" s="29" t="s">
        <v>29</v>
      </c>
      <c r="P154" s="29">
        <f t="shared" si="8"/>
        <v>20</v>
      </c>
    </row>
    <row r="155" s="10" customFormat="1" ht="16.5" customHeight="1" spans="1:16">
      <c r="A155" s="26">
        <v>3384</v>
      </c>
      <c r="B155" s="26" t="s">
        <v>187</v>
      </c>
      <c r="C155" s="26" t="s">
        <v>32</v>
      </c>
      <c r="D155" s="27">
        <v>45866</v>
      </c>
      <c r="E155" s="28">
        <f t="shared" si="6"/>
        <v>46226</v>
      </c>
      <c r="F155" s="27" t="str">
        <f ca="1" t="shared" si="7"/>
        <v>Vencido</v>
      </c>
      <c r="G155" s="26" t="s">
        <v>29</v>
      </c>
      <c r="H155" s="29">
        <v>5</v>
      </c>
      <c r="I155" s="26" t="s">
        <v>34</v>
      </c>
      <c r="J155" s="30" t="s">
        <v>33</v>
      </c>
      <c r="K155" s="29"/>
      <c r="L155" s="30" t="s">
        <v>33</v>
      </c>
      <c r="M155" s="31"/>
      <c r="N155" s="31">
        <v>0</v>
      </c>
      <c r="O155" s="29" t="s">
        <v>33</v>
      </c>
      <c r="P155" s="29">
        <f t="shared" si="8"/>
        <v>5</v>
      </c>
    </row>
    <row r="156" ht="16.5" customHeight="1" spans="1:16">
      <c r="A156" s="26">
        <v>3385</v>
      </c>
      <c r="B156" s="26" t="s">
        <v>188</v>
      </c>
      <c r="C156" s="26" t="s">
        <v>28</v>
      </c>
      <c r="D156" s="27">
        <v>45867</v>
      </c>
      <c r="E156" s="28">
        <f t="shared" si="6"/>
        <v>45897</v>
      </c>
      <c r="F156" s="27" t="str">
        <f ca="1" t="shared" si="7"/>
        <v>Vencido</v>
      </c>
      <c r="G156" s="26" t="s">
        <v>33</v>
      </c>
      <c r="H156" s="29">
        <v>15</v>
      </c>
      <c r="I156" s="26" t="s">
        <v>30</v>
      </c>
      <c r="J156" s="30" t="s">
        <v>29</v>
      </c>
      <c r="K156" s="29">
        <v>30</v>
      </c>
      <c r="L156" s="30" t="s">
        <v>29</v>
      </c>
      <c r="M156" s="31">
        <v>20</v>
      </c>
      <c r="N156" s="31">
        <v>20</v>
      </c>
      <c r="O156" s="29" t="s">
        <v>29</v>
      </c>
      <c r="P156" s="29">
        <f t="shared" si="8"/>
        <v>45</v>
      </c>
    </row>
    <row r="157" s="10" customFormat="1" ht="16.5" customHeight="1" spans="1:16">
      <c r="A157" s="26">
        <v>3386</v>
      </c>
      <c r="B157" s="26" t="s">
        <v>189</v>
      </c>
      <c r="C157" s="26" t="s">
        <v>36</v>
      </c>
      <c r="D157" s="27">
        <v>45868</v>
      </c>
      <c r="E157" s="28">
        <f t="shared" si="6"/>
        <v>45988</v>
      </c>
      <c r="F157" s="27" t="str">
        <f ca="1" t="shared" si="7"/>
        <v>Vencido</v>
      </c>
      <c r="G157" s="26" t="s">
        <v>29</v>
      </c>
      <c r="H157" s="29">
        <v>10</v>
      </c>
      <c r="I157" s="26" t="s">
        <v>37</v>
      </c>
      <c r="J157" s="30" t="s">
        <v>33</v>
      </c>
      <c r="K157" s="29"/>
      <c r="L157" s="30" t="s">
        <v>29</v>
      </c>
      <c r="M157" s="31">
        <v>20</v>
      </c>
      <c r="N157" s="31">
        <v>15</v>
      </c>
      <c r="O157" s="29" t="s">
        <v>29</v>
      </c>
      <c r="P157" s="29">
        <f t="shared" si="8"/>
        <v>15</v>
      </c>
    </row>
    <row r="158" s="10" customFormat="1" ht="16.5" customHeight="1" spans="1:16">
      <c r="A158" s="26">
        <v>3387</v>
      </c>
      <c r="B158" s="26" t="s">
        <v>190</v>
      </c>
      <c r="C158" s="26" t="s">
        <v>32</v>
      </c>
      <c r="D158" s="27">
        <v>45869</v>
      </c>
      <c r="E158" s="28">
        <f t="shared" si="6"/>
        <v>45899</v>
      </c>
      <c r="F158" s="27" t="str">
        <f ca="1" t="shared" si="7"/>
        <v>Vencido</v>
      </c>
      <c r="G158" s="26" t="s">
        <v>33</v>
      </c>
      <c r="H158" s="29">
        <v>5</v>
      </c>
      <c r="I158" s="26" t="s">
        <v>30</v>
      </c>
      <c r="J158" s="30" t="s">
        <v>33</v>
      </c>
      <c r="K158" s="29"/>
      <c r="L158" s="30" t="s">
        <v>33</v>
      </c>
      <c r="M158" s="31"/>
      <c r="N158" s="31">
        <v>1</v>
      </c>
      <c r="O158" s="29" t="s">
        <v>29</v>
      </c>
      <c r="P158" s="29">
        <f t="shared" si="8"/>
        <v>4</v>
      </c>
    </row>
    <row r="159" ht="16.5" customHeight="1" spans="1:16">
      <c r="A159" s="26">
        <v>3388</v>
      </c>
      <c r="B159" s="26" t="s">
        <v>191</v>
      </c>
      <c r="C159" s="26" t="s">
        <v>28</v>
      </c>
      <c r="D159" s="27">
        <v>45870</v>
      </c>
      <c r="E159" s="28">
        <f t="shared" si="6"/>
        <v>46230</v>
      </c>
      <c r="F159" s="27" t="str">
        <f ca="1" t="shared" si="7"/>
        <v>Vencido</v>
      </c>
      <c r="G159" s="26" t="s">
        <v>29</v>
      </c>
      <c r="H159" s="29">
        <v>15</v>
      </c>
      <c r="I159" s="26" t="s">
        <v>34</v>
      </c>
      <c r="J159" s="30" t="s">
        <v>29</v>
      </c>
      <c r="K159" s="29">
        <v>30</v>
      </c>
      <c r="L159" s="30" t="s">
        <v>29</v>
      </c>
      <c r="M159" s="31">
        <v>20</v>
      </c>
      <c r="N159" s="31">
        <v>3</v>
      </c>
      <c r="O159" s="29" t="s">
        <v>29</v>
      </c>
      <c r="P159" s="29">
        <f t="shared" si="8"/>
        <v>62</v>
      </c>
    </row>
    <row r="160" s="10" customFormat="1" ht="16.5" customHeight="1" spans="1:16">
      <c r="A160" s="26">
        <v>3389</v>
      </c>
      <c r="B160" s="26" t="s">
        <v>192</v>
      </c>
      <c r="C160" s="26" t="s">
        <v>36</v>
      </c>
      <c r="D160" s="27">
        <v>45871</v>
      </c>
      <c r="E160" s="28">
        <f t="shared" si="6"/>
        <v>45901</v>
      </c>
      <c r="F160" s="27" t="str">
        <f ca="1" t="shared" si="7"/>
        <v>Vencido</v>
      </c>
      <c r="G160" s="26" t="s">
        <v>33</v>
      </c>
      <c r="H160" s="29">
        <v>10</v>
      </c>
      <c r="I160" s="26" t="s">
        <v>30</v>
      </c>
      <c r="J160" s="30" t="s">
        <v>33</v>
      </c>
      <c r="K160" s="29"/>
      <c r="L160" s="30" t="s">
        <v>29</v>
      </c>
      <c r="M160" s="31">
        <v>20</v>
      </c>
      <c r="N160" s="31">
        <v>10</v>
      </c>
      <c r="O160" s="29" t="s">
        <v>29</v>
      </c>
      <c r="P160" s="29">
        <f t="shared" si="8"/>
        <v>20</v>
      </c>
    </row>
    <row r="161" s="10" customFormat="1" ht="16.5" customHeight="1" spans="1:16">
      <c r="A161" s="26">
        <v>3390</v>
      </c>
      <c r="B161" s="26" t="s">
        <v>193</v>
      </c>
      <c r="C161" s="26" t="s">
        <v>32</v>
      </c>
      <c r="D161" s="27">
        <v>45872</v>
      </c>
      <c r="E161" s="28">
        <f t="shared" si="6"/>
        <v>45992</v>
      </c>
      <c r="F161" s="27" t="str">
        <f ca="1" t="shared" si="7"/>
        <v>Vencido</v>
      </c>
      <c r="G161" s="26" t="s">
        <v>29</v>
      </c>
      <c r="H161" s="29">
        <v>5</v>
      </c>
      <c r="I161" s="26" t="s">
        <v>37</v>
      </c>
      <c r="J161" s="30" t="s">
        <v>33</v>
      </c>
      <c r="K161" s="29"/>
      <c r="L161" s="30" t="s">
        <v>33</v>
      </c>
      <c r="M161" s="31"/>
      <c r="N161" s="31">
        <v>0</v>
      </c>
      <c r="O161" s="29" t="s">
        <v>33</v>
      </c>
      <c r="P161" s="29">
        <f t="shared" si="8"/>
        <v>5</v>
      </c>
    </row>
    <row r="162" ht="16.5" customHeight="1" spans="1:16">
      <c r="A162" s="26">
        <v>3391</v>
      </c>
      <c r="B162" s="26" t="s">
        <v>93</v>
      </c>
      <c r="C162" s="26" t="s">
        <v>28</v>
      </c>
      <c r="D162" s="27">
        <v>45873</v>
      </c>
      <c r="E162" s="28">
        <f t="shared" si="6"/>
        <v>45903</v>
      </c>
      <c r="F162" s="27" t="str">
        <f ca="1" t="shared" si="7"/>
        <v>Vencido</v>
      </c>
      <c r="G162" s="26" t="s">
        <v>33</v>
      </c>
      <c r="H162" s="29">
        <v>15</v>
      </c>
      <c r="I162" s="26" t="s">
        <v>30</v>
      </c>
      <c r="J162" s="30" t="s">
        <v>29</v>
      </c>
      <c r="K162" s="29">
        <v>30</v>
      </c>
      <c r="L162" s="30" t="s">
        <v>29</v>
      </c>
      <c r="M162" s="31">
        <v>20</v>
      </c>
      <c r="N162" s="31">
        <v>15</v>
      </c>
      <c r="O162" s="29" t="s">
        <v>29</v>
      </c>
      <c r="P162" s="29">
        <f t="shared" si="8"/>
        <v>50</v>
      </c>
    </row>
    <row r="163" s="10" customFormat="1" ht="16.5" customHeight="1" spans="1:16">
      <c r="A163" s="26">
        <v>3392</v>
      </c>
      <c r="B163" s="26" t="s">
        <v>194</v>
      </c>
      <c r="C163" s="26" t="s">
        <v>36</v>
      </c>
      <c r="D163" s="27">
        <v>45874</v>
      </c>
      <c r="E163" s="28">
        <f t="shared" si="6"/>
        <v>46234</v>
      </c>
      <c r="F163" s="27" t="str">
        <f ca="1" t="shared" si="7"/>
        <v>Vencido</v>
      </c>
      <c r="G163" s="26" t="s">
        <v>29</v>
      </c>
      <c r="H163" s="29">
        <v>10</v>
      </c>
      <c r="I163" s="26" t="s">
        <v>34</v>
      </c>
      <c r="J163" s="30" t="s">
        <v>33</v>
      </c>
      <c r="K163" s="29"/>
      <c r="L163" s="30" t="s">
        <v>29</v>
      </c>
      <c r="M163" s="31">
        <v>20</v>
      </c>
      <c r="N163" s="31">
        <v>15</v>
      </c>
      <c r="O163" s="29" t="s">
        <v>29</v>
      </c>
      <c r="P163" s="29">
        <f t="shared" si="8"/>
        <v>15</v>
      </c>
    </row>
    <row r="164" s="10" customFormat="1" ht="16.5" customHeight="1" spans="1:16">
      <c r="A164" s="26">
        <v>3393</v>
      </c>
      <c r="B164" s="26" t="s">
        <v>195</v>
      </c>
      <c r="C164" s="26" t="s">
        <v>32</v>
      </c>
      <c r="D164" s="27">
        <v>45875</v>
      </c>
      <c r="E164" s="28">
        <f t="shared" si="6"/>
        <v>45905</v>
      </c>
      <c r="F164" s="27" t="str">
        <f ca="1" t="shared" si="7"/>
        <v>Vencido</v>
      </c>
      <c r="G164" s="26" t="s">
        <v>33</v>
      </c>
      <c r="H164" s="29">
        <v>5</v>
      </c>
      <c r="I164" s="26" t="s">
        <v>30</v>
      </c>
      <c r="J164" s="30" t="s">
        <v>33</v>
      </c>
      <c r="K164" s="29"/>
      <c r="L164" s="30" t="s">
        <v>33</v>
      </c>
      <c r="M164" s="31"/>
      <c r="N164" s="31">
        <v>1</v>
      </c>
      <c r="O164" s="29" t="s">
        <v>29</v>
      </c>
      <c r="P164" s="29">
        <f t="shared" si="8"/>
        <v>4</v>
      </c>
    </row>
    <row r="165" ht="16.5" customHeight="1" spans="1:16">
      <c r="A165" s="26">
        <v>3394</v>
      </c>
      <c r="B165" s="26" t="s">
        <v>196</v>
      </c>
      <c r="C165" s="26" t="s">
        <v>28</v>
      </c>
      <c r="D165" s="27">
        <v>45876</v>
      </c>
      <c r="E165" s="28">
        <f t="shared" si="6"/>
        <v>45996</v>
      </c>
      <c r="F165" s="27" t="str">
        <f ca="1" t="shared" si="7"/>
        <v>Vencido</v>
      </c>
      <c r="G165" s="26" t="s">
        <v>29</v>
      </c>
      <c r="H165" s="29">
        <v>15</v>
      </c>
      <c r="I165" s="26" t="s">
        <v>37</v>
      </c>
      <c r="J165" s="30" t="s">
        <v>29</v>
      </c>
      <c r="K165" s="29">
        <v>30</v>
      </c>
      <c r="L165" s="30" t="s">
        <v>29</v>
      </c>
      <c r="M165" s="31">
        <v>20</v>
      </c>
      <c r="N165" s="31">
        <v>7</v>
      </c>
      <c r="O165" s="29" t="s">
        <v>29</v>
      </c>
      <c r="P165" s="29">
        <f t="shared" si="8"/>
        <v>58</v>
      </c>
    </row>
    <row r="166" s="10" customFormat="1" ht="16.5" customHeight="1" spans="1:16">
      <c r="A166" s="26">
        <v>3395</v>
      </c>
      <c r="B166" s="26" t="s">
        <v>197</v>
      </c>
      <c r="C166" s="26" t="s">
        <v>36</v>
      </c>
      <c r="D166" s="27">
        <v>45877</v>
      </c>
      <c r="E166" s="28">
        <f t="shared" si="6"/>
        <v>45907</v>
      </c>
      <c r="F166" s="27" t="str">
        <f ca="1" t="shared" si="7"/>
        <v>Vencido</v>
      </c>
      <c r="G166" s="26" t="s">
        <v>33</v>
      </c>
      <c r="H166" s="29">
        <v>10</v>
      </c>
      <c r="I166" s="26" t="s">
        <v>30</v>
      </c>
      <c r="J166" s="30" t="s">
        <v>33</v>
      </c>
      <c r="K166" s="29"/>
      <c r="L166" s="30" t="s">
        <v>29</v>
      </c>
      <c r="M166" s="31">
        <v>20</v>
      </c>
      <c r="N166" s="31">
        <v>10</v>
      </c>
      <c r="O166" s="29" t="s">
        <v>29</v>
      </c>
      <c r="P166" s="29">
        <f t="shared" si="8"/>
        <v>20</v>
      </c>
    </row>
    <row r="167" s="10" customFormat="1" ht="16.5" customHeight="1" spans="1:16">
      <c r="A167" s="26">
        <v>3396</v>
      </c>
      <c r="B167" s="26" t="s">
        <v>198</v>
      </c>
      <c r="C167" s="26" t="s">
        <v>32</v>
      </c>
      <c r="D167" s="27">
        <v>45878</v>
      </c>
      <c r="E167" s="28">
        <f t="shared" si="6"/>
        <v>46238</v>
      </c>
      <c r="F167" s="27" t="str">
        <f ca="1" t="shared" si="7"/>
        <v>Vencido</v>
      </c>
      <c r="G167" s="26" t="s">
        <v>29</v>
      </c>
      <c r="H167" s="29">
        <v>5</v>
      </c>
      <c r="I167" s="26" t="s">
        <v>34</v>
      </c>
      <c r="J167" s="30" t="s">
        <v>33</v>
      </c>
      <c r="K167" s="29"/>
      <c r="L167" s="30" t="s">
        <v>33</v>
      </c>
      <c r="M167" s="31"/>
      <c r="N167" s="31">
        <v>0</v>
      </c>
      <c r="O167" s="29" t="s">
        <v>33</v>
      </c>
      <c r="P167" s="29">
        <f t="shared" si="8"/>
        <v>5</v>
      </c>
    </row>
    <row r="168" ht="16.5" customHeight="1" spans="1:16">
      <c r="A168" s="26">
        <v>3397</v>
      </c>
      <c r="B168" s="26" t="s">
        <v>125</v>
      </c>
      <c r="C168" s="26" t="s">
        <v>28</v>
      </c>
      <c r="D168" s="27">
        <v>45879</v>
      </c>
      <c r="E168" s="28">
        <f t="shared" si="6"/>
        <v>45909</v>
      </c>
      <c r="F168" s="27" t="str">
        <f ca="1" t="shared" si="7"/>
        <v>Vencido</v>
      </c>
      <c r="G168" s="26" t="s">
        <v>33</v>
      </c>
      <c r="H168" s="29">
        <v>15</v>
      </c>
      <c r="I168" s="26" t="s">
        <v>30</v>
      </c>
      <c r="J168" s="30" t="s">
        <v>29</v>
      </c>
      <c r="K168" s="29">
        <v>30</v>
      </c>
      <c r="L168" s="30" t="s">
        <v>29</v>
      </c>
      <c r="M168" s="31">
        <v>20</v>
      </c>
      <c r="N168" s="31">
        <v>20</v>
      </c>
      <c r="O168" s="29" t="s">
        <v>29</v>
      </c>
      <c r="P168" s="29">
        <f t="shared" si="8"/>
        <v>45</v>
      </c>
    </row>
    <row r="169" s="10" customFormat="1" ht="16.5" customHeight="1" spans="1:16">
      <c r="A169" s="26">
        <v>3398</v>
      </c>
      <c r="B169" s="26" t="s">
        <v>199</v>
      </c>
      <c r="C169" s="26" t="s">
        <v>36</v>
      </c>
      <c r="D169" s="27">
        <v>45880</v>
      </c>
      <c r="E169" s="28">
        <f t="shared" si="6"/>
        <v>46000</v>
      </c>
      <c r="F169" s="27" t="str">
        <f ca="1" t="shared" si="7"/>
        <v>Vencido</v>
      </c>
      <c r="G169" s="26" t="s">
        <v>29</v>
      </c>
      <c r="H169" s="29">
        <v>10</v>
      </c>
      <c r="I169" s="26" t="s">
        <v>37</v>
      </c>
      <c r="J169" s="30" t="s">
        <v>33</v>
      </c>
      <c r="K169" s="29"/>
      <c r="L169" s="30" t="s">
        <v>29</v>
      </c>
      <c r="M169" s="31">
        <v>20</v>
      </c>
      <c r="N169" s="31">
        <v>15</v>
      </c>
      <c r="O169" s="29" t="s">
        <v>29</v>
      </c>
      <c r="P169" s="29">
        <f t="shared" si="8"/>
        <v>15</v>
      </c>
    </row>
    <row r="170" s="10" customFormat="1" ht="16.5" customHeight="1" spans="1:16">
      <c r="A170" s="26">
        <v>3399</v>
      </c>
      <c r="B170" s="26" t="s">
        <v>200</v>
      </c>
      <c r="C170" s="26" t="s">
        <v>32</v>
      </c>
      <c r="D170" s="27">
        <v>45881</v>
      </c>
      <c r="E170" s="28">
        <f t="shared" si="6"/>
        <v>45911</v>
      </c>
      <c r="F170" s="27" t="str">
        <f ca="1" t="shared" si="7"/>
        <v>Vencido</v>
      </c>
      <c r="G170" s="26" t="s">
        <v>33</v>
      </c>
      <c r="H170" s="29">
        <v>5</v>
      </c>
      <c r="I170" s="26" t="s">
        <v>30</v>
      </c>
      <c r="J170" s="30" t="s">
        <v>33</v>
      </c>
      <c r="K170" s="29"/>
      <c r="L170" s="30" t="s">
        <v>33</v>
      </c>
      <c r="M170" s="31"/>
      <c r="N170" s="31">
        <v>1</v>
      </c>
      <c r="O170" s="29" t="s">
        <v>29</v>
      </c>
      <c r="P170" s="29">
        <f t="shared" si="8"/>
        <v>4</v>
      </c>
    </row>
    <row r="171" ht="16.5" customHeight="1" spans="1:16">
      <c r="A171" s="26">
        <v>3400</v>
      </c>
      <c r="B171" s="26" t="s">
        <v>201</v>
      </c>
      <c r="C171" s="26" t="s">
        <v>28</v>
      </c>
      <c r="D171" s="27">
        <v>45882</v>
      </c>
      <c r="E171" s="28">
        <f t="shared" si="6"/>
        <v>46242</v>
      </c>
      <c r="F171" s="27" t="str">
        <f ca="1" t="shared" si="7"/>
        <v>Vencido</v>
      </c>
      <c r="G171" s="26" t="s">
        <v>29</v>
      </c>
      <c r="H171" s="29">
        <v>15</v>
      </c>
      <c r="I171" s="26" t="s">
        <v>34</v>
      </c>
      <c r="J171" s="30" t="s">
        <v>29</v>
      </c>
      <c r="K171" s="29">
        <v>30</v>
      </c>
      <c r="L171" s="30" t="s">
        <v>29</v>
      </c>
      <c r="M171" s="31">
        <v>20</v>
      </c>
      <c r="N171" s="31">
        <v>5</v>
      </c>
      <c r="O171" s="29" t="s">
        <v>29</v>
      </c>
      <c r="P171" s="29">
        <f t="shared" si="8"/>
        <v>60</v>
      </c>
    </row>
    <row r="172" s="10" customFormat="1" ht="16.5" customHeight="1" spans="1:16">
      <c r="A172" s="26">
        <v>3401</v>
      </c>
      <c r="B172" s="26" t="s">
        <v>202</v>
      </c>
      <c r="C172" s="26" t="s">
        <v>36</v>
      </c>
      <c r="D172" s="27">
        <v>45883</v>
      </c>
      <c r="E172" s="28">
        <f t="shared" si="6"/>
        <v>45913</v>
      </c>
      <c r="F172" s="27" t="str">
        <f ca="1" t="shared" si="7"/>
        <v>Vencido</v>
      </c>
      <c r="G172" s="26" t="s">
        <v>33</v>
      </c>
      <c r="H172" s="29">
        <v>10</v>
      </c>
      <c r="I172" s="26" t="s">
        <v>30</v>
      </c>
      <c r="J172" s="30" t="s">
        <v>33</v>
      </c>
      <c r="K172" s="29"/>
      <c r="L172" s="30" t="s">
        <v>29</v>
      </c>
      <c r="M172" s="31">
        <v>20</v>
      </c>
      <c r="N172" s="31">
        <v>10</v>
      </c>
      <c r="O172" s="29" t="s">
        <v>29</v>
      </c>
      <c r="P172" s="29">
        <f t="shared" si="8"/>
        <v>20</v>
      </c>
    </row>
    <row r="173" s="10" customFormat="1" ht="16.5" customHeight="1" spans="1:16">
      <c r="A173" s="26">
        <v>3402</v>
      </c>
      <c r="B173" s="26" t="s">
        <v>203</v>
      </c>
      <c r="C173" s="26" t="s">
        <v>32</v>
      </c>
      <c r="D173" s="27">
        <v>45884</v>
      </c>
      <c r="E173" s="28">
        <f t="shared" si="6"/>
        <v>46004</v>
      </c>
      <c r="F173" s="27" t="str">
        <f ca="1" t="shared" si="7"/>
        <v>Vencido</v>
      </c>
      <c r="G173" s="26" t="s">
        <v>29</v>
      </c>
      <c r="H173" s="29">
        <v>5</v>
      </c>
      <c r="I173" s="26" t="s">
        <v>37</v>
      </c>
      <c r="J173" s="30" t="s">
        <v>33</v>
      </c>
      <c r="K173" s="29"/>
      <c r="L173" s="30" t="s">
        <v>33</v>
      </c>
      <c r="M173" s="31"/>
      <c r="N173" s="31">
        <v>0</v>
      </c>
      <c r="O173" s="29" t="s">
        <v>33</v>
      </c>
      <c r="P173" s="29">
        <f t="shared" si="8"/>
        <v>5</v>
      </c>
    </row>
    <row r="174" ht="16.5" customHeight="1" spans="1:16">
      <c r="A174" s="26">
        <v>3403</v>
      </c>
      <c r="B174" s="26" t="s">
        <v>204</v>
      </c>
      <c r="C174" s="26" t="s">
        <v>28</v>
      </c>
      <c r="D174" s="27">
        <v>45885</v>
      </c>
      <c r="E174" s="28">
        <f t="shared" si="6"/>
        <v>45915</v>
      </c>
      <c r="F174" s="27" t="str">
        <f ca="1" t="shared" si="7"/>
        <v>Vencido</v>
      </c>
      <c r="G174" s="26" t="s">
        <v>33</v>
      </c>
      <c r="H174" s="29">
        <v>15</v>
      </c>
      <c r="I174" s="26" t="s">
        <v>30</v>
      </c>
      <c r="J174" s="30" t="s">
        <v>29</v>
      </c>
      <c r="K174" s="29">
        <v>30</v>
      </c>
      <c r="L174" s="30" t="s">
        <v>29</v>
      </c>
      <c r="M174" s="31">
        <v>20</v>
      </c>
      <c r="N174" s="31">
        <v>3</v>
      </c>
      <c r="O174" s="29" t="s">
        <v>29</v>
      </c>
      <c r="P174" s="29">
        <f t="shared" si="8"/>
        <v>62</v>
      </c>
    </row>
    <row r="175" s="10" customFormat="1" ht="16.5" customHeight="1" spans="1:16">
      <c r="A175" s="26">
        <v>3404</v>
      </c>
      <c r="B175" s="26" t="s">
        <v>205</v>
      </c>
      <c r="C175" s="26" t="s">
        <v>36</v>
      </c>
      <c r="D175" s="27">
        <v>45886</v>
      </c>
      <c r="E175" s="28">
        <f t="shared" si="6"/>
        <v>46246</v>
      </c>
      <c r="F175" s="27" t="str">
        <f ca="1" t="shared" si="7"/>
        <v>Vencido</v>
      </c>
      <c r="G175" s="26" t="s">
        <v>29</v>
      </c>
      <c r="H175" s="29">
        <v>10</v>
      </c>
      <c r="I175" s="26" t="s">
        <v>34</v>
      </c>
      <c r="J175" s="30" t="s">
        <v>33</v>
      </c>
      <c r="K175" s="29"/>
      <c r="L175" s="30" t="s">
        <v>29</v>
      </c>
      <c r="M175" s="31">
        <v>20</v>
      </c>
      <c r="N175" s="31">
        <v>15</v>
      </c>
      <c r="O175" s="29" t="s">
        <v>29</v>
      </c>
      <c r="P175" s="29">
        <f t="shared" si="8"/>
        <v>15</v>
      </c>
    </row>
    <row r="176" s="10" customFormat="1" ht="16.5" customHeight="1" spans="1:16">
      <c r="A176" s="26">
        <v>3405</v>
      </c>
      <c r="B176" s="26" t="s">
        <v>206</v>
      </c>
      <c r="C176" s="26" t="s">
        <v>32</v>
      </c>
      <c r="D176" s="27">
        <v>45887</v>
      </c>
      <c r="E176" s="28">
        <f t="shared" si="6"/>
        <v>45917</v>
      </c>
      <c r="F176" s="27" t="str">
        <f ca="1" t="shared" si="7"/>
        <v>Vencido</v>
      </c>
      <c r="G176" s="26" t="s">
        <v>33</v>
      </c>
      <c r="H176" s="29">
        <v>5</v>
      </c>
      <c r="I176" s="26" t="s">
        <v>30</v>
      </c>
      <c r="J176" s="30" t="s">
        <v>33</v>
      </c>
      <c r="K176" s="29"/>
      <c r="L176" s="30" t="s">
        <v>33</v>
      </c>
      <c r="M176" s="31"/>
      <c r="N176" s="31">
        <v>1</v>
      </c>
      <c r="O176" s="29" t="s">
        <v>29</v>
      </c>
      <c r="P176" s="29">
        <f t="shared" si="8"/>
        <v>4</v>
      </c>
    </row>
    <row r="177" s="10" customFormat="1" ht="16.5" customHeight="1" spans="1:16">
      <c r="A177" s="26">
        <v>3406</v>
      </c>
      <c r="B177" s="26" t="s">
        <v>207</v>
      </c>
      <c r="C177" s="26" t="s">
        <v>32</v>
      </c>
      <c r="D177" s="27">
        <v>45888</v>
      </c>
      <c r="E177" s="28">
        <f t="shared" si="6"/>
        <v>45918</v>
      </c>
      <c r="F177" s="27" t="str">
        <f ca="1" t="shared" si="7"/>
        <v>Vencido</v>
      </c>
      <c r="G177" s="26" t="s">
        <v>29</v>
      </c>
      <c r="H177" s="29">
        <v>5</v>
      </c>
      <c r="I177" s="26" t="s">
        <v>30</v>
      </c>
      <c r="J177" s="30" t="s">
        <v>33</v>
      </c>
      <c r="K177" s="29"/>
      <c r="L177" s="30" t="s">
        <v>33</v>
      </c>
      <c r="M177" s="31"/>
      <c r="N177" s="31">
        <v>0</v>
      </c>
      <c r="O177" s="29" t="s">
        <v>33</v>
      </c>
      <c r="P177" s="29">
        <f t="shared" si="8"/>
        <v>5</v>
      </c>
    </row>
    <row r="178" ht="16.5" customHeight="1" spans="1:16">
      <c r="A178" s="26">
        <v>3407</v>
      </c>
      <c r="B178" s="26" t="s">
        <v>208</v>
      </c>
      <c r="C178" s="26" t="s">
        <v>28</v>
      </c>
      <c r="D178" s="27">
        <v>45889</v>
      </c>
      <c r="E178" s="28">
        <f t="shared" si="6"/>
        <v>46009</v>
      </c>
      <c r="F178" s="27" t="str">
        <f ca="1" t="shared" si="7"/>
        <v>Vencido</v>
      </c>
      <c r="G178" s="26" t="s">
        <v>33</v>
      </c>
      <c r="H178" s="29">
        <v>15</v>
      </c>
      <c r="I178" s="26" t="s">
        <v>37</v>
      </c>
      <c r="J178" s="30" t="s">
        <v>29</v>
      </c>
      <c r="K178" s="29">
        <v>30</v>
      </c>
      <c r="L178" s="30" t="s">
        <v>29</v>
      </c>
      <c r="M178" s="31">
        <v>20</v>
      </c>
      <c r="N178" s="31">
        <v>7</v>
      </c>
      <c r="O178" s="29" t="s">
        <v>29</v>
      </c>
      <c r="P178" s="29">
        <f t="shared" si="8"/>
        <v>58</v>
      </c>
    </row>
    <row r="179" s="10" customFormat="1" ht="16.5" customHeight="1" spans="1:16">
      <c r="A179" s="26">
        <v>3408</v>
      </c>
      <c r="B179" s="26" t="s">
        <v>209</v>
      </c>
      <c r="C179" s="26" t="s">
        <v>36</v>
      </c>
      <c r="D179" s="27">
        <v>45890</v>
      </c>
      <c r="E179" s="28">
        <f t="shared" si="6"/>
        <v>46250</v>
      </c>
      <c r="F179" s="27" t="str">
        <f ca="1" t="shared" si="7"/>
        <v>Vencido</v>
      </c>
      <c r="G179" s="26" t="s">
        <v>29</v>
      </c>
      <c r="H179" s="29">
        <v>10</v>
      </c>
      <c r="I179" s="26" t="s">
        <v>34</v>
      </c>
      <c r="J179" s="30" t="s">
        <v>33</v>
      </c>
      <c r="K179" s="29"/>
      <c r="L179" s="30" t="s">
        <v>29</v>
      </c>
      <c r="M179" s="31">
        <v>20</v>
      </c>
      <c r="N179" s="31">
        <v>10</v>
      </c>
      <c r="O179" s="29" t="s">
        <v>29</v>
      </c>
      <c r="P179" s="29">
        <f t="shared" si="8"/>
        <v>20</v>
      </c>
    </row>
    <row r="180" s="10" customFormat="1" ht="16.5" customHeight="1" spans="1:16">
      <c r="A180" s="26">
        <v>3409</v>
      </c>
      <c r="B180" s="26" t="s">
        <v>210</v>
      </c>
      <c r="C180" s="26" t="s">
        <v>32</v>
      </c>
      <c r="D180" s="27">
        <v>45891</v>
      </c>
      <c r="E180" s="28">
        <f t="shared" si="6"/>
        <v>46011</v>
      </c>
      <c r="F180" s="27" t="str">
        <f ca="1" t="shared" si="7"/>
        <v>Vencido</v>
      </c>
      <c r="G180" s="26" t="s">
        <v>33</v>
      </c>
      <c r="H180" s="29">
        <v>5</v>
      </c>
      <c r="I180" s="26" t="s">
        <v>37</v>
      </c>
      <c r="J180" s="30" t="s">
        <v>33</v>
      </c>
      <c r="K180" s="29"/>
      <c r="L180" s="30" t="s">
        <v>33</v>
      </c>
      <c r="M180" s="31"/>
      <c r="N180" s="31">
        <v>1</v>
      </c>
      <c r="O180" s="29" t="s">
        <v>29</v>
      </c>
      <c r="P180" s="29">
        <f t="shared" si="8"/>
        <v>4</v>
      </c>
    </row>
    <row r="181" ht="16.5" customHeight="1" spans="1:16">
      <c r="A181" s="26">
        <v>3410</v>
      </c>
      <c r="B181" s="26" t="s">
        <v>211</v>
      </c>
      <c r="C181" s="26" t="s">
        <v>28</v>
      </c>
      <c r="D181" s="27">
        <v>45892</v>
      </c>
      <c r="E181" s="28">
        <f t="shared" si="6"/>
        <v>45922</v>
      </c>
      <c r="F181" s="27" t="str">
        <f ca="1" t="shared" si="7"/>
        <v>Vencido</v>
      </c>
      <c r="G181" s="26" t="s">
        <v>29</v>
      </c>
      <c r="H181" s="29">
        <v>15</v>
      </c>
      <c r="I181" s="26" t="s">
        <v>30</v>
      </c>
      <c r="J181" s="30" t="s">
        <v>29</v>
      </c>
      <c r="K181" s="29">
        <v>30</v>
      </c>
      <c r="L181" s="30" t="s">
        <v>29</v>
      </c>
      <c r="M181" s="31">
        <v>20</v>
      </c>
      <c r="N181" s="31">
        <v>15</v>
      </c>
      <c r="O181" s="29" t="s">
        <v>29</v>
      </c>
      <c r="P181" s="29">
        <f t="shared" si="8"/>
        <v>50</v>
      </c>
    </row>
    <row r="182" s="10" customFormat="1" ht="16.5" customHeight="1" spans="1:16">
      <c r="A182" s="26">
        <v>3411</v>
      </c>
      <c r="B182" s="26" t="s">
        <v>212</v>
      </c>
      <c r="C182" s="26" t="s">
        <v>36</v>
      </c>
      <c r="D182" s="27">
        <v>45893</v>
      </c>
      <c r="E182" s="28">
        <f t="shared" si="6"/>
        <v>45923</v>
      </c>
      <c r="F182" s="27" t="str">
        <f ca="1" t="shared" si="7"/>
        <v>Vencido</v>
      </c>
      <c r="G182" s="26" t="s">
        <v>33</v>
      </c>
      <c r="H182" s="29">
        <v>10</v>
      </c>
      <c r="I182" s="26" t="s">
        <v>30</v>
      </c>
      <c r="J182" s="30" t="s">
        <v>33</v>
      </c>
      <c r="K182" s="29"/>
      <c r="L182" s="30" t="s">
        <v>29</v>
      </c>
      <c r="M182" s="31">
        <v>20</v>
      </c>
      <c r="N182" s="31">
        <v>5</v>
      </c>
      <c r="O182" s="29" t="s">
        <v>29</v>
      </c>
      <c r="P182" s="29">
        <f t="shared" si="8"/>
        <v>25</v>
      </c>
    </row>
    <row r="183" s="10" customFormat="1" ht="16.5" customHeight="1" spans="1:16">
      <c r="A183" s="26">
        <v>3412</v>
      </c>
      <c r="B183" s="26" t="s">
        <v>213</v>
      </c>
      <c r="C183" s="26" t="s">
        <v>32</v>
      </c>
      <c r="D183" s="27">
        <v>45894</v>
      </c>
      <c r="E183" s="28">
        <f t="shared" si="6"/>
        <v>46254</v>
      </c>
      <c r="F183" s="27" t="str">
        <f ca="1" t="shared" si="7"/>
        <v>Vencido</v>
      </c>
      <c r="G183" s="26" t="s">
        <v>29</v>
      </c>
      <c r="H183" s="29">
        <v>5</v>
      </c>
      <c r="I183" s="26" t="s">
        <v>34</v>
      </c>
      <c r="J183" s="30" t="s">
        <v>33</v>
      </c>
      <c r="K183" s="29"/>
      <c r="L183" s="30" t="s">
        <v>33</v>
      </c>
      <c r="M183" s="31"/>
      <c r="N183" s="31">
        <v>0</v>
      </c>
      <c r="O183" s="29" t="s">
        <v>33</v>
      </c>
      <c r="P183" s="29">
        <f t="shared" si="8"/>
        <v>5</v>
      </c>
    </row>
    <row r="184" ht="16.5" customHeight="1" spans="1:16">
      <c r="A184" s="26">
        <v>3413</v>
      </c>
      <c r="B184" s="26" t="s">
        <v>214</v>
      </c>
      <c r="C184" s="26" t="s">
        <v>28</v>
      </c>
      <c r="D184" s="27">
        <v>45895</v>
      </c>
      <c r="E184" s="28">
        <f t="shared" si="6"/>
        <v>46015</v>
      </c>
      <c r="F184" s="27" t="str">
        <f ca="1" t="shared" si="7"/>
        <v>Vencido</v>
      </c>
      <c r="G184" s="26" t="s">
        <v>33</v>
      </c>
      <c r="H184" s="29">
        <v>15</v>
      </c>
      <c r="I184" s="26" t="s">
        <v>37</v>
      </c>
      <c r="J184" s="30" t="s">
        <v>29</v>
      </c>
      <c r="K184" s="29">
        <v>30</v>
      </c>
      <c r="L184" s="30" t="s">
        <v>29</v>
      </c>
      <c r="M184" s="31">
        <v>20</v>
      </c>
      <c r="N184" s="31">
        <v>20</v>
      </c>
      <c r="O184" s="29" t="s">
        <v>29</v>
      </c>
      <c r="P184" s="29">
        <f t="shared" si="8"/>
        <v>45</v>
      </c>
    </row>
    <row r="185" s="10" customFormat="1" ht="16.5" customHeight="1" spans="1:16">
      <c r="A185" s="26">
        <v>3414</v>
      </c>
      <c r="B185" s="26" t="s">
        <v>215</v>
      </c>
      <c r="C185" s="26" t="s">
        <v>36</v>
      </c>
      <c r="D185" s="27">
        <v>45896</v>
      </c>
      <c r="E185" s="28">
        <f t="shared" si="6"/>
        <v>46016</v>
      </c>
      <c r="F185" s="27" t="str">
        <f ca="1" t="shared" si="7"/>
        <v>Vencido</v>
      </c>
      <c r="G185" s="26" t="s">
        <v>29</v>
      </c>
      <c r="H185" s="29">
        <v>10</v>
      </c>
      <c r="I185" s="26" t="s">
        <v>37</v>
      </c>
      <c r="J185" s="30" t="s">
        <v>33</v>
      </c>
      <c r="K185" s="29"/>
      <c r="L185" s="30" t="s">
        <v>29</v>
      </c>
      <c r="M185" s="31">
        <v>20</v>
      </c>
      <c r="N185" s="31">
        <v>12</v>
      </c>
      <c r="O185" s="29" t="s">
        <v>29</v>
      </c>
      <c r="P185" s="29">
        <f t="shared" si="8"/>
        <v>18</v>
      </c>
    </row>
    <row r="186" s="10" customFormat="1" ht="16.5" customHeight="1" spans="1:16">
      <c r="A186" s="26">
        <v>3415</v>
      </c>
      <c r="B186" s="26" t="s">
        <v>216</v>
      </c>
      <c r="C186" s="26" t="s">
        <v>32</v>
      </c>
      <c r="D186" s="27">
        <v>45897</v>
      </c>
      <c r="E186" s="28">
        <f t="shared" si="6"/>
        <v>45927</v>
      </c>
      <c r="F186" s="27" t="str">
        <f ca="1" t="shared" si="7"/>
        <v>Vencido</v>
      </c>
      <c r="G186" s="26" t="s">
        <v>33</v>
      </c>
      <c r="H186" s="29">
        <v>5</v>
      </c>
      <c r="I186" s="26" t="s">
        <v>30</v>
      </c>
      <c r="J186" s="30" t="s">
        <v>33</v>
      </c>
      <c r="K186" s="29"/>
      <c r="L186" s="30" t="s">
        <v>33</v>
      </c>
      <c r="M186" s="31"/>
      <c r="N186" s="31">
        <v>2</v>
      </c>
      <c r="O186" s="29" t="s">
        <v>29</v>
      </c>
      <c r="P186" s="29">
        <f t="shared" si="8"/>
        <v>3</v>
      </c>
    </row>
    <row r="187" ht="16.5" customHeight="1" spans="1:16">
      <c r="A187" s="26">
        <v>3416</v>
      </c>
      <c r="B187" s="26" t="s">
        <v>217</v>
      </c>
      <c r="C187" s="26" t="s">
        <v>28</v>
      </c>
      <c r="D187" s="27">
        <v>45898</v>
      </c>
      <c r="E187" s="28">
        <f t="shared" si="6"/>
        <v>46258</v>
      </c>
      <c r="F187" s="27" t="str">
        <f ca="1" t="shared" si="7"/>
        <v>Vencido</v>
      </c>
      <c r="G187" s="26" t="s">
        <v>29</v>
      </c>
      <c r="H187" s="29">
        <v>15</v>
      </c>
      <c r="I187" s="26" t="s">
        <v>34</v>
      </c>
      <c r="J187" s="30" t="s">
        <v>29</v>
      </c>
      <c r="K187" s="29">
        <v>30</v>
      </c>
      <c r="L187" s="30" t="s">
        <v>29</v>
      </c>
      <c r="M187" s="31">
        <v>20</v>
      </c>
      <c r="N187" s="31">
        <v>5</v>
      </c>
      <c r="O187" s="29" t="s">
        <v>29</v>
      </c>
      <c r="P187" s="29">
        <f t="shared" si="8"/>
        <v>60</v>
      </c>
    </row>
    <row r="188" s="10" customFormat="1" ht="16.5" customHeight="1" spans="1:16">
      <c r="A188" s="26">
        <v>3417</v>
      </c>
      <c r="B188" s="26" t="s">
        <v>218</v>
      </c>
      <c r="C188" s="26" t="s">
        <v>36</v>
      </c>
      <c r="D188" s="27">
        <v>45899</v>
      </c>
      <c r="E188" s="28">
        <f t="shared" si="6"/>
        <v>45929</v>
      </c>
      <c r="F188" s="27" t="str">
        <f ca="1" t="shared" si="7"/>
        <v>Vencido</v>
      </c>
      <c r="G188" s="26" t="s">
        <v>33</v>
      </c>
      <c r="H188" s="29">
        <v>10</v>
      </c>
      <c r="I188" s="26" t="s">
        <v>30</v>
      </c>
      <c r="J188" s="30" t="s">
        <v>33</v>
      </c>
      <c r="K188" s="29"/>
      <c r="L188" s="30" t="s">
        <v>29</v>
      </c>
      <c r="M188" s="31">
        <v>20</v>
      </c>
      <c r="N188" s="31">
        <v>10</v>
      </c>
      <c r="O188" s="29" t="s">
        <v>29</v>
      </c>
      <c r="P188" s="29">
        <f t="shared" si="8"/>
        <v>20</v>
      </c>
    </row>
    <row r="189" s="10" customFormat="1" ht="16.5" customHeight="1" spans="1:16">
      <c r="A189" s="26">
        <v>3418</v>
      </c>
      <c r="B189" s="26" t="s">
        <v>219</v>
      </c>
      <c r="C189" s="26" t="s">
        <v>32</v>
      </c>
      <c r="D189" s="27">
        <v>45900</v>
      </c>
      <c r="E189" s="28">
        <f t="shared" si="6"/>
        <v>46020</v>
      </c>
      <c r="F189" s="27" t="str">
        <f ca="1" t="shared" si="7"/>
        <v>Vencido</v>
      </c>
      <c r="G189" s="26" t="s">
        <v>29</v>
      </c>
      <c r="H189" s="29">
        <v>5</v>
      </c>
      <c r="I189" s="26" t="s">
        <v>37</v>
      </c>
      <c r="J189" s="30" t="s">
        <v>33</v>
      </c>
      <c r="K189" s="29"/>
      <c r="L189" s="30" t="s">
        <v>33</v>
      </c>
      <c r="M189" s="31"/>
      <c r="N189" s="31">
        <v>0</v>
      </c>
      <c r="O189" s="29" t="s">
        <v>33</v>
      </c>
      <c r="P189" s="29">
        <f t="shared" si="8"/>
        <v>5</v>
      </c>
    </row>
    <row r="190" ht="16.5" customHeight="1" spans="1:16">
      <c r="A190" s="26">
        <v>3419</v>
      </c>
      <c r="B190" s="26" t="s">
        <v>220</v>
      </c>
      <c r="C190" s="26" t="s">
        <v>28</v>
      </c>
      <c r="D190" s="27">
        <v>45901</v>
      </c>
      <c r="E190" s="28">
        <f t="shared" si="6"/>
        <v>45931</v>
      </c>
      <c r="F190" s="27" t="str">
        <f ca="1" t="shared" si="7"/>
        <v>Vencido</v>
      </c>
      <c r="G190" s="26" t="s">
        <v>33</v>
      </c>
      <c r="H190" s="29">
        <v>15</v>
      </c>
      <c r="I190" s="26" t="s">
        <v>30</v>
      </c>
      <c r="J190" s="30" t="s">
        <v>29</v>
      </c>
      <c r="K190" s="29">
        <v>30</v>
      </c>
      <c r="L190" s="30" t="s">
        <v>29</v>
      </c>
      <c r="M190" s="31">
        <v>20</v>
      </c>
      <c r="N190" s="31">
        <v>3</v>
      </c>
      <c r="O190" s="29" t="s">
        <v>29</v>
      </c>
      <c r="P190" s="29">
        <f t="shared" si="8"/>
        <v>62</v>
      </c>
    </row>
    <row r="191" s="10" customFormat="1" ht="16.5" customHeight="1" spans="1:16">
      <c r="A191" s="26">
        <v>3420</v>
      </c>
      <c r="B191" s="26" t="s">
        <v>221</v>
      </c>
      <c r="C191" s="26" t="s">
        <v>36</v>
      </c>
      <c r="D191" s="27">
        <v>45902</v>
      </c>
      <c r="E191" s="28">
        <f t="shared" si="6"/>
        <v>46262</v>
      </c>
      <c r="F191" s="27" t="str">
        <f ca="1" t="shared" si="7"/>
        <v>Vencido</v>
      </c>
      <c r="G191" s="26" t="s">
        <v>29</v>
      </c>
      <c r="H191" s="29">
        <v>10</v>
      </c>
      <c r="I191" s="26" t="s">
        <v>34</v>
      </c>
      <c r="J191" s="30" t="s">
        <v>33</v>
      </c>
      <c r="K191" s="29"/>
      <c r="L191" s="30" t="s">
        <v>29</v>
      </c>
      <c r="M191" s="31">
        <v>20</v>
      </c>
      <c r="N191" s="31">
        <v>15</v>
      </c>
      <c r="O191" s="29" t="s">
        <v>29</v>
      </c>
      <c r="P191" s="29">
        <f t="shared" si="8"/>
        <v>15</v>
      </c>
    </row>
    <row r="192" s="10" customFormat="1" ht="16.5" customHeight="1" spans="1:16">
      <c r="A192" s="26">
        <v>3421</v>
      </c>
      <c r="B192" s="26" t="s">
        <v>50</v>
      </c>
      <c r="C192" s="26" t="s">
        <v>32</v>
      </c>
      <c r="D192" s="27">
        <v>45903</v>
      </c>
      <c r="E192" s="28">
        <f t="shared" si="6"/>
        <v>45933</v>
      </c>
      <c r="F192" s="27" t="str">
        <f ca="1" t="shared" si="7"/>
        <v>Vencido</v>
      </c>
      <c r="G192" s="26" t="s">
        <v>33</v>
      </c>
      <c r="H192" s="29">
        <v>5</v>
      </c>
      <c r="I192" s="26" t="s">
        <v>30</v>
      </c>
      <c r="J192" s="30" t="s">
        <v>33</v>
      </c>
      <c r="K192" s="29"/>
      <c r="L192" s="30" t="s">
        <v>33</v>
      </c>
      <c r="M192" s="31"/>
      <c r="N192" s="31">
        <v>1</v>
      </c>
      <c r="O192" s="29" t="s">
        <v>29</v>
      </c>
      <c r="P192" s="29">
        <f t="shared" si="8"/>
        <v>4</v>
      </c>
    </row>
    <row r="193" ht="16.5" customHeight="1" spans="1:16">
      <c r="A193" s="26">
        <v>3422</v>
      </c>
      <c r="B193" s="26" t="s">
        <v>222</v>
      </c>
      <c r="C193" s="26" t="s">
        <v>28</v>
      </c>
      <c r="D193" s="27">
        <v>45904</v>
      </c>
      <c r="E193" s="28">
        <f t="shared" si="6"/>
        <v>46024</v>
      </c>
      <c r="F193" s="27" t="str">
        <f ca="1" t="shared" si="7"/>
        <v>Vencido</v>
      </c>
      <c r="G193" s="26" t="s">
        <v>29</v>
      </c>
      <c r="H193" s="29">
        <v>15</v>
      </c>
      <c r="I193" s="26" t="s">
        <v>37</v>
      </c>
      <c r="J193" s="30" t="s">
        <v>29</v>
      </c>
      <c r="K193" s="29">
        <v>30</v>
      </c>
      <c r="L193" s="30" t="s">
        <v>29</v>
      </c>
      <c r="M193" s="31">
        <v>20</v>
      </c>
      <c r="N193" s="31">
        <v>7</v>
      </c>
      <c r="O193" s="29" t="s">
        <v>29</v>
      </c>
      <c r="P193" s="29">
        <f t="shared" si="8"/>
        <v>58</v>
      </c>
    </row>
    <row r="194" s="10" customFormat="1" ht="16.5" customHeight="1" spans="1:16">
      <c r="A194" s="26">
        <v>3423</v>
      </c>
      <c r="B194" s="26" t="s">
        <v>223</v>
      </c>
      <c r="C194" s="26" t="s">
        <v>36</v>
      </c>
      <c r="D194" s="27">
        <v>45905</v>
      </c>
      <c r="E194" s="28">
        <f t="shared" ref="E194:E257" si="9">IF(I194="Monthly",(D194+30),IF(I194="Annual",(D194+360),D194+120))</f>
        <v>45935</v>
      </c>
      <c r="F194" s="27" t="str">
        <f ca="1" t="shared" ref="F194:F257" si="10">IF(TODAY()&lt;E194,"A vencer","Vencido")</f>
        <v>Vencido</v>
      </c>
      <c r="G194" s="26" t="s">
        <v>33</v>
      </c>
      <c r="H194" s="29">
        <v>10</v>
      </c>
      <c r="I194" s="26" t="s">
        <v>30</v>
      </c>
      <c r="J194" s="30" t="s">
        <v>33</v>
      </c>
      <c r="K194" s="29"/>
      <c r="L194" s="30" t="s">
        <v>29</v>
      </c>
      <c r="M194" s="31">
        <v>20</v>
      </c>
      <c r="N194" s="31">
        <v>10</v>
      </c>
      <c r="O194" s="29" t="s">
        <v>29</v>
      </c>
      <c r="P194" s="29">
        <f t="shared" si="8"/>
        <v>20</v>
      </c>
    </row>
    <row r="195" s="10" customFormat="1" ht="16.5" customHeight="1" spans="1:16">
      <c r="A195" s="26">
        <v>3424</v>
      </c>
      <c r="B195" s="26" t="s">
        <v>49</v>
      </c>
      <c r="C195" s="26" t="s">
        <v>32</v>
      </c>
      <c r="D195" s="27">
        <v>45906</v>
      </c>
      <c r="E195" s="28">
        <f t="shared" si="9"/>
        <v>46266</v>
      </c>
      <c r="F195" s="27" t="str">
        <f ca="1" t="shared" si="10"/>
        <v>Vencido</v>
      </c>
      <c r="G195" s="26" t="s">
        <v>29</v>
      </c>
      <c r="H195" s="29">
        <v>5</v>
      </c>
      <c r="I195" s="26" t="s">
        <v>34</v>
      </c>
      <c r="J195" s="30" t="s">
        <v>33</v>
      </c>
      <c r="K195" s="29"/>
      <c r="L195" s="30" t="s">
        <v>33</v>
      </c>
      <c r="M195" s="31"/>
      <c r="N195" s="31">
        <v>0</v>
      </c>
      <c r="O195" s="29" t="s">
        <v>33</v>
      </c>
      <c r="P195" s="29">
        <f t="shared" ref="P195:P258" si="11">(H195+K195+M195)-N195</f>
        <v>5</v>
      </c>
    </row>
    <row r="196" ht="16.5" customHeight="1" spans="1:16">
      <c r="A196" s="26">
        <v>3425</v>
      </c>
      <c r="B196" s="26" t="s">
        <v>224</v>
      </c>
      <c r="C196" s="26" t="s">
        <v>28</v>
      </c>
      <c r="D196" s="27">
        <v>45907</v>
      </c>
      <c r="E196" s="28">
        <f t="shared" si="9"/>
        <v>45937</v>
      </c>
      <c r="F196" s="27" t="str">
        <f ca="1" t="shared" si="10"/>
        <v>Vencido</v>
      </c>
      <c r="G196" s="26" t="s">
        <v>33</v>
      </c>
      <c r="H196" s="29">
        <v>15</v>
      </c>
      <c r="I196" s="26" t="s">
        <v>30</v>
      </c>
      <c r="J196" s="30" t="s">
        <v>29</v>
      </c>
      <c r="K196" s="29">
        <v>30</v>
      </c>
      <c r="L196" s="30" t="s">
        <v>29</v>
      </c>
      <c r="M196" s="31">
        <v>20</v>
      </c>
      <c r="N196" s="31">
        <v>20</v>
      </c>
      <c r="O196" s="29" t="s">
        <v>29</v>
      </c>
      <c r="P196" s="29">
        <f t="shared" si="11"/>
        <v>45</v>
      </c>
    </row>
    <row r="197" s="10" customFormat="1" ht="16.5" customHeight="1" spans="1:16">
      <c r="A197" s="26">
        <v>3426</v>
      </c>
      <c r="B197" s="26" t="s">
        <v>202</v>
      </c>
      <c r="C197" s="26" t="s">
        <v>36</v>
      </c>
      <c r="D197" s="27">
        <v>45908</v>
      </c>
      <c r="E197" s="28">
        <f t="shared" si="9"/>
        <v>46028</v>
      </c>
      <c r="F197" s="27" t="str">
        <f ca="1" t="shared" si="10"/>
        <v>Vencido</v>
      </c>
      <c r="G197" s="26" t="s">
        <v>29</v>
      </c>
      <c r="H197" s="29">
        <v>10</v>
      </c>
      <c r="I197" s="26" t="s">
        <v>37</v>
      </c>
      <c r="J197" s="30" t="s">
        <v>33</v>
      </c>
      <c r="K197" s="29"/>
      <c r="L197" s="30" t="s">
        <v>29</v>
      </c>
      <c r="M197" s="31">
        <v>20</v>
      </c>
      <c r="N197" s="31">
        <v>15</v>
      </c>
      <c r="O197" s="29" t="s">
        <v>29</v>
      </c>
      <c r="P197" s="29">
        <f t="shared" si="11"/>
        <v>15</v>
      </c>
    </row>
    <row r="198" s="10" customFormat="1" ht="16.5" customHeight="1" spans="1:16">
      <c r="A198" s="26">
        <v>3427</v>
      </c>
      <c r="B198" s="26" t="s">
        <v>225</v>
      </c>
      <c r="C198" s="26" t="s">
        <v>32</v>
      </c>
      <c r="D198" s="27">
        <v>45909</v>
      </c>
      <c r="E198" s="28">
        <f t="shared" si="9"/>
        <v>45939</v>
      </c>
      <c r="F198" s="27" t="str">
        <f ca="1" t="shared" si="10"/>
        <v>Vencido</v>
      </c>
      <c r="G198" s="26" t="s">
        <v>33</v>
      </c>
      <c r="H198" s="29">
        <v>5</v>
      </c>
      <c r="I198" s="26" t="s">
        <v>30</v>
      </c>
      <c r="J198" s="30" t="s">
        <v>33</v>
      </c>
      <c r="K198" s="29"/>
      <c r="L198" s="30" t="s">
        <v>33</v>
      </c>
      <c r="M198" s="31"/>
      <c r="N198" s="31">
        <v>1</v>
      </c>
      <c r="O198" s="29" t="s">
        <v>29</v>
      </c>
      <c r="P198" s="29">
        <f t="shared" si="11"/>
        <v>4</v>
      </c>
    </row>
    <row r="199" ht="16.5" customHeight="1" spans="1:16">
      <c r="A199" s="26">
        <v>3428</v>
      </c>
      <c r="B199" s="26" t="s">
        <v>226</v>
      </c>
      <c r="C199" s="26" t="s">
        <v>28</v>
      </c>
      <c r="D199" s="27">
        <v>45910</v>
      </c>
      <c r="E199" s="28">
        <f t="shared" si="9"/>
        <v>46270</v>
      </c>
      <c r="F199" s="27" t="str">
        <f ca="1" t="shared" si="10"/>
        <v>Vencido</v>
      </c>
      <c r="G199" s="26" t="s">
        <v>29</v>
      </c>
      <c r="H199" s="29">
        <v>15</v>
      </c>
      <c r="I199" s="26" t="s">
        <v>34</v>
      </c>
      <c r="J199" s="30" t="s">
        <v>29</v>
      </c>
      <c r="K199" s="29">
        <v>30</v>
      </c>
      <c r="L199" s="30" t="s">
        <v>29</v>
      </c>
      <c r="M199" s="31">
        <v>20</v>
      </c>
      <c r="N199" s="31">
        <v>3</v>
      </c>
      <c r="O199" s="29" t="s">
        <v>29</v>
      </c>
      <c r="P199" s="29">
        <f t="shared" si="11"/>
        <v>62</v>
      </c>
    </row>
    <row r="200" s="10" customFormat="1" ht="16.5" customHeight="1" spans="1:16">
      <c r="A200" s="26">
        <v>3429</v>
      </c>
      <c r="B200" s="26" t="s">
        <v>227</v>
      </c>
      <c r="C200" s="26" t="s">
        <v>36</v>
      </c>
      <c r="D200" s="27">
        <v>45911</v>
      </c>
      <c r="E200" s="28">
        <f t="shared" si="9"/>
        <v>45941</v>
      </c>
      <c r="F200" s="27" t="str">
        <f ca="1" t="shared" si="10"/>
        <v>Vencido</v>
      </c>
      <c r="G200" s="26" t="s">
        <v>33</v>
      </c>
      <c r="H200" s="29">
        <v>10</v>
      </c>
      <c r="I200" s="26" t="s">
        <v>30</v>
      </c>
      <c r="J200" s="30" t="s">
        <v>33</v>
      </c>
      <c r="K200" s="29"/>
      <c r="L200" s="30" t="s">
        <v>29</v>
      </c>
      <c r="M200" s="31">
        <v>20</v>
      </c>
      <c r="N200" s="31">
        <v>10</v>
      </c>
      <c r="O200" s="29" t="s">
        <v>29</v>
      </c>
      <c r="P200" s="29">
        <f t="shared" si="11"/>
        <v>20</v>
      </c>
    </row>
    <row r="201" s="10" customFormat="1" ht="16.5" customHeight="1" spans="1:16">
      <c r="A201" s="26">
        <v>3430</v>
      </c>
      <c r="B201" s="26" t="s">
        <v>228</v>
      </c>
      <c r="C201" s="26" t="s">
        <v>32</v>
      </c>
      <c r="D201" s="27">
        <v>45912</v>
      </c>
      <c r="E201" s="28">
        <f t="shared" si="9"/>
        <v>46032</v>
      </c>
      <c r="F201" s="27" t="str">
        <f ca="1" t="shared" si="10"/>
        <v>Vencido</v>
      </c>
      <c r="G201" s="26" t="s">
        <v>29</v>
      </c>
      <c r="H201" s="29">
        <v>5</v>
      </c>
      <c r="I201" s="26" t="s">
        <v>37</v>
      </c>
      <c r="J201" s="30" t="s">
        <v>33</v>
      </c>
      <c r="K201" s="29"/>
      <c r="L201" s="30" t="s">
        <v>33</v>
      </c>
      <c r="M201" s="31"/>
      <c r="N201" s="31">
        <v>0</v>
      </c>
      <c r="O201" s="29" t="s">
        <v>33</v>
      </c>
      <c r="P201" s="29">
        <f t="shared" si="11"/>
        <v>5</v>
      </c>
    </row>
    <row r="202" ht="16.5" customHeight="1" spans="1:16">
      <c r="A202" s="26">
        <v>3431</v>
      </c>
      <c r="B202" s="26" t="s">
        <v>229</v>
      </c>
      <c r="C202" s="26" t="s">
        <v>28</v>
      </c>
      <c r="D202" s="27">
        <v>45913</v>
      </c>
      <c r="E202" s="28">
        <f t="shared" si="9"/>
        <v>45943</v>
      </c>
      <c r="F202" s="27" t="str">
        <f ca="1" t="shared" si="10"/>
        <v>Vencido</v>
      </c>
      <c r="G202" s="26" t="s">
        <v>33</v>
      </c>
      <c r="H202" s="29">
        <v>15</v>
      </c>
      <c r="I202" s="26" t="s">
        <v>30</v>
      </c>
      <c r="J202" s="30" t="s">
        <v>29</v>
      </c>
      <c r="K202" s="29">
        <v>30</v>
      </c>
      <c r="L202" s="30" t="s">
        <v>29</v>
      </c>
      <c r="M202" s="31">
        <v>20</v>
      </c>
      <c r="N202" s="31">
        <v>15</v>
      </c>
      <c r="O202" s="29" t="s">
        <v>29</v>
      </c>
      <c r="P202" s="29">
        <f t="shared" si="11"/>
        <v>50</v>
      </c>
    </row>
    <row r="203" s="10" customFormat="1" ht="16.5" customHeight="1" spans="1:16">
      <c r="A203" s="26">
        <v>3432</v>
      </c>
      <c r="B203" s="26" t="s">
        <v>230</v>
      </c>
      <c r="C203" s="26" t="s">
        <v>36</v>
      </c>
      <c r="D203" s="27">
        <v>45914</v>
      </c>
      <c r="E203" s="28">
        <f t="shared" si="9"/>
        <v>46274</v>
      </c>
      <c r="F203" s="27" t="str">
        <f ca="1" t="shared" si="10"/>
        <v>Vencido</v>
      </c>
      <c r="G203" s="26" t="s">
        <v>29</v>
      </c>
      <c r="H203" s="29">
        <v>10</v>
      </c>
      <c r="I203" s="26" t="s">
        <v>34</v>
      </c>
      <c r="J203" s="30" t="s">
        <v>33</v>
      </c>
      <c r="K203" s="29"/>
      <c r="L203" s="30" t="s">
        <v>29</v>
      </c>
      <c r="M203" s="31">
        <v>20</v>
      </c>
      <c r="N203" s="31">
        <v>15</v>
      </c>
      <c r="O203" s="29" t="s">
        <v>29</v>
      </c>
      <c r="P203" s="29">
        <f t="shared" si="11"/>
        <v>15</v>
      </c>
    </row>
    <row r="204" s="10" customFormat="1" ht="16.5" customHeight="1" spans="1:16">
      <c r="A204" s="26">
        <v>3433</v>
      </c>
      <c r="B204" s="26" t="s">
        <v>231</v>
      </c>
      <c r="C204" s="26" t="s">
        <v>32</v>
      </c>
      <c r="D204" s="27">
        <v>45915</v>
      </c>
      <c r="E204" s="28">
        <f t="shared" si="9"/>
        <v>45945</v>
      </c>
      <c r="F204" s="27" t="str">
        <f ca="1" t="shared" si="10"/>
        <v>Vencido</v>
      </c>
      <c r="G204" s="26" t="s">
        <v>33</v>
      </c>
      <c r="H204" s="29">
        <v>5</v>
      </c>
      <c r="I204" s="26" t="s">
        <v>30</v>
      </c>
      <c r="J204" s="30" t="s">
        <v>33</v>
      </c>
      <c r="K204" s="29"/>
      <c r="L204" s="30" t="s">
        <v>33</v>
      </c>
      <c r="M204" s="31"/>
      <c r="N204" s="31">
        <v>1</v>
      </c>
      <c r="O204" s="29" t="s">
        <v>29</v>
      </c>
      <c r="P204" s="29">
        <f t="shared" si="11"/>
        <v>4</v>
      </c>
    </row>
    <row r="205" ht="16.5" customHeight="1" spans="1:16">
      <c r="A205" s="26">
        <v>3434</v>
      </c>
      <c r="B205" s="26" t="s">
        <v>232</v>
      </c>
      <c r="C205" s="26" t="s">
        <v>28</v>
      </c>
      <c r="D205" s="27">
        <v>45916</v>
      </c>
      <c r="E205" s="28">
        <f t="shared" si="9"/>
        <v>46036</v>
      </c>
      <c r="F205" s="27" t="str">
        <f ca="1" t="shared" si="10"/>
        <v>Vencido</v>
      </c>
      <c r="G205" s="26" t="s">
        <v>29</v>
      </c>
      <c r="H205" s="29">
        <v>15</v>
      </c>
      <c r="I205" s="26" t="s">
        <v>37</v>
      </c>
      <c r="J205" s="30" t="s">
        <v>29</v>
      </c>
      <c r="K205" s="29">
        <v>30</v>
      </c>
      <c r="L205" s="30" t="s">
        <v>29</v>
      </c>
      <c r="M205" s="31">
        <v>20</v>
      </c>
      <c r="N205" s="31">
        <v>7</v>
      </c>
      <c r="O205" s="29" t="s">
        <v>29</v>
      </c>
      <c r="P205" s="29">
        <f t="shared" si="11"/>
        <v>58</v>
      </c>
    </row>
    <row r="206" s="10" customFormat="1" ht="16.5" customHeight="1" spans="1:16">
      <c r="A206" s="26">
        <v>3435</v>
      </c>
      <c r="B206" s="26" t="s">
        <v>233</v>
      </c>
      <c r="C206" s="26" t="s">
        <v>36</v>
      </c>
      <c r="D206" s="27">
        <v>45917</v>
      </c>
      <c r="E206" s="28">
        <f t="shared" si="9"/>
        <v>45947</v>
      </c>
      <c r="F206" s="27" t="str">
        <f ca="1" t="shared" si="10"/>
        <v>Vencido</v>
      </c>
      <c r="G206" s="26" t="s">
        <v>33</v>
      </c>
      <c r="H206" s="29">
        <v>10</v>
      </c>
      <c r="I206" s="26" t="s">
        <v>30</v>
      </c>
      <c r="J206" s="30" t="s">
        <v>33</v>
      </c>
      <c r="K206" s="29"/>
      <c r="L206" s="30" t="s">
        <v>29</v>
      </c>
      <c r="M206" s="31">
        <v>20</v>
      </c>
      <c r="N206" s="31">
        <v>10</v>
      </c>
      <c r="O206" s="29" t="s">
        <v>29</v>
      </c>
      <c r="P206" s="29">
        <f t="shared" si="11"/>
        <v>20</v>
      </c>
    </row>
    <row r="207" s="10" customFormat="1" ht="16.5" customHeight="1" spans="1:16">
      <c r="A207" s="26">
        <v>3436</v>
      </c>
      <c r="B207" s="26" t="s">
        <v>234</v>
      </c>
      <c r="C207" s="26" t="s">
        <v>32</v>
      </c>
      <c r="D207" s="27">
        <v>45918</v>
      </c>
      <c r="E207" s="28">
        <f t="shared" si="9"/>
        <v>45948</v>
      </c>
      <c r="F207" s="27" t="str">
        <f ca="1" t="shared" si="10"/>
        <v>Vencido</v>
      </c>
      <c r="G207" s="26" t="s">
        <v>29</v>
      </c>
      <c r="H207" s="29">
        <v>5</v>
      </c>
      <c r="I207" s="26" t="s">
        <v>30</v>
      </c>
      <c r="J207" s="30" t="s">
        <v>33</v>
      </c>
      <c r="K207" s="29"/>
      <c r="L207" s="30" t="s">
        <v>33</v>
      </c>
      <c r="M207" s="31"/>
      <c r="N207" s="31">
        <v>0</v>
      </c>
      <c r="O207" s="29" t="s">
        <v>33</v>
      </c>
      <c r="P207" s="29">
        <f t="shared" si="11"/>
        <v>5</v>
      </c>
    </row>
    <row r="208" ht="16.5" customHeight="1" spans="1:16">
      <c r="A208" s="26">
        <v>3437</v>
      </c>
      <c r="B208" s="26" t="s">
        <v>235</v>
      </c>
      <c r="C208" s="26" t="s">
        <v>28</v>
      </c>
      <c r="D208" s="27">
        <v>45919</v>
      </c>
      <c r="E208" s="28">
        <f t="shared" si="9"/>
        <v>46039</v>
      </c>
      <c r="F208" s="27" t="str">
        <f ca="1" t="shared" si="10"/>
        <v>Vencido</v>
      </c>
      <c r="G208" s="26" t="s">
        <v>33</v>
      </c>
      <c r="H208" s="29">
        <v>15</v>
      </c>
      <c r="I208" s="26" t="s">
        <v>37</v>
      </c>
      <c r="J208" s="30" t="s">
        <v>29</v>
      </c>
      <c r="K208" s="29">
        <v>30</v>
      </c>
      <c r="L208" s="30" t="s">
        <v>29</v>
      </c>
      <c r="M208" s="31">
        <v>20</v>
      </c>
      <c r="N208" s="31">
        <v>7</v>
      </c>
      <c r="O208" s="29" t="s">
        <v>29</v>
      </c>
      <c r="P208" s="29">
        <f t="shared" si="11"/>
        <v>58</v>
      </c>
    </row>
    <row r="209" s="10" customFormat="1" ht="16.5" customHeight="1" spans="1:16">
      <c r="A209" s="26">
        <v>3438</v>
      </c>
      <c r="B209" s="26" t="s">
        <v>236</v>
      </c>
      <c r="C209" s="26" t="s">
        <v>36</v>
      </c>
      <c r="D209" s="27">
        <v>45920</v>
      </c>
      <c r="E209" s="28">
        <f t="shared" si="9"/>
        <v>46280</v>
      </c>
      <c r="F209" s="27" t="str">
        <f ca="1" t="shared" si="10"/>
        <v>Vencido</v>
      </c>
      <c r="G209" s="26" t="s">
        <v>29</v>
      </c>
      <c r="H209" s="29">
        <v>10</v>
      </c>
      <c r="I209" s="26" t="s">
        <v>34</v>
      </c>
      <c r="J209" s="30" t="s">
        <v>33</v>
      </c>
      <c r="K209" s="29"/>
      <c r="L209" s="30" t="s">
        <v>29</v>
      </c>
      <c r="M209" s="31">
        <v>20</v>
      </c>
      <c r="N209" s="31">
        <v>10</v>
      </c>
      <c r="O209" s="29" t="s">
        <v>29</v>
      </c>
      <c r="P209" s="29">
        <f t="shared" si="11"/>
        <v>20</v>
      </c>
    </row>
    <row r="210" s="10" customFormat="1" ht="16.5" customHeight="1" spans="1:16">
      <c r="A210" s="26">
        <v>3439</v>
      </c>
      <c r="B210" s="26" t="s">
        <v>237</v>
      </c>
      <c r="C210" s="26" t="s">
        <v>32</v>
      </c>
      <c r="D210" s="27">
        <v>45921</v>
      </c>
      <c r="E210" s="28">
        <f t="shared" si="9"/>
        <v>46041</v>
      </c>
      <c r="F210" s="27" t="str">
        <f ca="1" t="shared" si="10"/>
        <v>Vencido</v>
      </c>
      <c r="G210" s="26" t="s">
        <v>33</v>
      </c>
      <c r="H210" s="29">
        <v>5</v>
      </c>
      <c r="I210" s="26" t="s">
        <v>37</v>
      </c>
      <c r="J210" s="30" t="s">
        <v>33</v>
      </c>
      <c r="K210" s="29"/>
      <c r="L210" s="30" t="s">
        <v>33</v>
      </c>
      <c r="M210" s="31"/>
      <c r="N210" s="31">
        <v>1</v>
      </c>
      <c r="O210" s="29" t="s">
        <v>29</v>
      </c>
      <c r="P210" s="29">
        <f t="shared" si="11"/>
        <v>4</v>
      </c>
    </row>
    <row r="211" ht="16.5" customHeight="1" spans="1:16">
      <c r="A211" s="26">
        <v>3440</v>
      </c>
      <c r="B211" s="26" t="s">
        <v>238</v>
      </c>
      <c r="C211" s="26" t="s">
        <v>28</v>
      </c>
      <c r="D211" s="27">
        <v>45922</v>
      </c>
      <c r="E211" s="28">
        <f t="shared" si="9"/>
        <v>45952</v>
      </c>
      <c r="F211" s="27" t="str">
        <f ca="1" t="shared" si="10"/>
        <v>Vencido</v>
      </c>
      <c r="G211" s="26" t="s">
        <v>29</v>
      </c>
      <c r="H211" s="29">
        <v>15</v>
      </c>
      <c r="I211" s="26" t="s">
        <v>30</v>
      </c>
      <c r="J211" s="30" t="s">
        <v>29</v>
      </c>
      <c r="K211" s="29">
        <v>30</v>
      </c>
      <c r="L211" s="30" t="s">
        <v>29</v>
      </c>
      <c r="M211" s="31">
        <v>20</v>
      </c>
      <c r="N211" s="31">
        <v>15</v>
      </c>
      <c r="O211" s="29" t="s">
        <v>29</v>
      </c>
      <c r="P211" s="29">
        <f t="shared" si="11"/>
        <v>50</v>
      </c>
    </row>
    <row r="212" s="10" customFormat="1" ht="16.5" customHeight="1" spans="1:16">
      <c r="A212" s="26">
        <v>3441</v>
      </c>
      <c r="B212" s="26" t="s">
        <v>239</v>
      </c>
      <c r="C212" s="26" t="s">
        <v>36</v>
      </c>
      <c r="D212" s="27">
        <v>45923</v>
      </c>
      <c r="E212" s="28">
        <f t="shared" si="9"/>
        <v>45953</v>
      </c>
      <c r="F212" s="27" t="str">
        <f ca="1" t="shared" si="10"/>
        <v>Vencido</v>
      </c>
      <c r="G212" s="26" t="s">
        <v>33</v>
      </c>
      <c r="H212" s="29">
        <v>10</v>
      </c>
      <c r="I212" s="26" t="s">
        <v>30</v>
      </c>
      <c r="J212" s="30" t="s">
        <v>33</v>
      </c>
      <c r="K212" s="29"/>
      <c r="L212" s="30" t="s">
        <v>29</v>
      </c>
      <c r="M212" s="31">
        <v>20</v>
      </c>
      <c r="N212" s="31">
        <v>5</v>
      </c>
      <c r="O212" s="29" t="s">
        <v>29</v>
      </c>
      <c r="P212" s="29">
        <f t="shared" si="11"/>
        <v>25</v>
      </c>
    </row>
    <row r="213" s="10" customFormat="1" ht="16.5" customHeight="1" spans="1:16">
      <c r="A213" s="26">
        <v>3442</v>
      </c>
      <c r="B213" s="26" t="s">
        <v>240</v>
      </c>
      <c r="C213" s="26" t="s">
        <v>32</v>
      </c>
      <c r="D213" s="27">
        <v>45924</v>
      </c>
      <c r="E213" s="28">
        <f t="shared" si="9"/>
        <v>46284</v>
      </c>
      <c r="F213" s="27" t="str">
        <f ca="1" t="shared" si="10"/>
        <v>Vencido</v>
      </c>
      <c r="G213" s="26" t="s">
        <v>29</v>
      </c>
      <c r="H213" s="29">
        <v>5</v>
      </c>
      <c r="I213" s="26" t="s">
        <v>34</v>
      </c>
      <c r="J213" s="30" t="s">
        <v>33</v>
      </c>
      <c r="K213" s="29"/>
      <c r="L213" s="30" t="s">
        <v>33</v>
      </c>
      <c r="M213" s="31"/>
      <c r="N213" s="31">
        <v>0</v>
      </c>
      <c r="O213" s="29" t="s">
        <v>33</v>
      </c>
      <c r="P213" s="29">
        <f t="shared" si="11"/>
        <v>5</v>
      </c>
    </row>
    <row r="214" ht="16.5" customHeight="1" spans="1:16">
      <c r="A214" s="26">
        <v>3443</v>
      </c>
      <c r="B214" s="26" t="s">
        <v>241</v>
      </c>
      <c r="C214" s="26" t="s">
        <v>28</v>
      </c>
      <c r="D214" s="27">
        <v>45925</v>
      </c>
      <c r="E214" s="28">
        <f t="shared" si="9"/>
        <v>46045</v>
      </c>
      <c r="F214" s="27" t="str">
        <f ca="1" t="shared" si="10"/>
        <v>Vencido</v>
      </c>
      <c r="G214" s="26" t="s">
        <v>33</v>
      </c>
      <c r="H214" s="29">
        <v>15</v>
      </c>
      <c r="I214" s="26" t="s">
        <v>37</v>
      </c>
      <c r="J214" s="30" t="s">
        <v>29</v>
      </c>
      <c r="K214" s="29">
        <v>30</v>
      </c>
      <c r="L214" s="30" t="s">
        <v>29</v>
      </c>
      <c r="M214" s="31">
        <v>20</v>
      </c>
      <c r="N214" s="31">
        <v>20</v>
      </c>
      <c r="O214" s="29" t="s">
        <v>29</v>
      </c>
      <c r="P214" s="29">
        <f t="shared" si="11"/>
        <v>45</v>
      </c>
    </row>
    <row r="215" s="10" customFormat="1" ht="16.5" customHeight="1" spans="1:16">
      <c r="A215" s="26">
        <v>3444</v>
      </c>
      <c r="B215" s="26" t="s">
        <v>242</v>
      </c>
      <c r="C215" s="26" t="s">
        <v>36</v>
      </c>
      <c r="D215" s="27">
        <v>45926</v>
      </c>
      <c r="E215" s="28">
        <f t="shared" si="9"/>
        <v>46046</v>
      </c>
      <c r="F215" s="27" t="str">
        <f ca="1" t="shared" si="10"/>
        <v>Vencido</v>
      </c>
      <c r="G215" s="26" t="s">
        <v>29</v>
      </c>
      <c r="H215" s="29">
        <v>10</v>
      </c>
      <c r="I215" s="26" t="s">
        <v>37</v>
      </c>
      <c r="J215" s="30" t="s">
        <v>33</v>
      </c>
      <c r="K215" s="29"/>
      <c r="L215" s="30" t="s">
        <v>29</v>
      </c>
      <c r="M215" s="31">
        <v>20</v>
      </c>
      <c r="N215" s="31">
        <v>12</v>
      </c>
      <c r="O215" s="29" t="s">
        <v>29</v>
      </c>
      <c r="P215" s="29">
        <f t="shared" si="11"/>
        <v>18</v>
      </c>
    </row>
    <row r="216" s="10" customFormat="1" ht="16.5" customHeight="1" spans="1:16">
      <c r="A216" s="26">
        <v>3445</v>
      </c>
      <c r="B216" s="26" t="s">
        <v>72</v>
      </c>
      <c r="C216" s="26" t="s">
        <v>32</v>
      </c>
      <c r="D216" s="27">
        <v>45927</v>
      </c>
      <c r="E216" s="28">
        <f t="shared" si="9"/>
        <v>45957</v>
      </c>
      <c r="F216" s="27" t="str">
        <f ca="1" t="shared" si="10"/>
        <v>Vencido</v>
      </c>
      <c r="G216" s="26" t="s">
        <v>33</v>
      </c>
      <c r="H216" s="29">
        <v>5</v>
      </c>
      <c r="I216" s="26" t="s">
        <v>30</v>
      </c>
      <c r="J216" s="30" t="s">
        <v>33</v>
      </c>
      <c r="K216" s="29"/>
      <c r="L216" s="30" t="s">
        <v>33</v>
      </c>
      <c r="M216" s="31"/>
      <c r="N216" s="31">
        <v>2</v>
      </c>
      <c r="O216" s="29" t="s">
        <v>29</v>
      </c>
      <c r="P216" s="29">
        <f t="shared" si="11"/>
        <v>3</v>
      </c>
    </row>
    <row r="217" ht="16.5" customHeight="1" spans="1:16">
      <c r="A217" s="26">
        <v>3446</v>
      </c>
      <c r="B217" s="26" t="s">
        <v>243</v>
      </c>
      <c r="C217" s="26" t="s">
        <v>28</v>
      </c>
      <c r="D217" s="27">
        <v>45928</v>
      </c>
      <c r="E217" s="28">
        <f t="shared" si="9"/>
        <v>46288</v>
      </c>
      <c r="F217" s="27" t="str">
        <f ca="1" t="shared" si="10"/>
        <v>Vencido</v>
      </c>
      <c r="G217" s="26" t="s">
        <v>29</v>
      </c>
      <c r="H217" s="29">
        <v>15</v>
      </c>
      <c r="I217" s="26" t="s">
        <v>34</v>
      </c>
      <c r="J217" s="30" t="s">
        <v>29</v>
      </c>
      <c r="K217" s="29">
        <v>30</v>
      </c>
      <c r="L217" s="30" t="s">
        <v>29</v>
      </c>
      <c r="M217" s="31">
        <v>20</v>
      </c>
      <c r="N217" s="31">
        <v>5</v>
      </c>
      <c r="O217" s="29" t="s">
        <v>29</v>
      </c>
      <c r="P217" s="29">
        <f t="shared" si="11"/>
        <v>60</v>
      </c>
    </row>
    <row r="218" s="10" customFormat="1" ht="16.5" customHeight="1" spans="1:16">
      <c r="A218" s="26">
        <v>3447</v>
      </c>
      <c r="B218" s="26" t="s">
        <v>244</v>
      </c>
      <c r="C218" s="26" t="s">
        <v>36</v>
      </c>
      <c r="D218" s="27">
        <v>45929</v>
      </c>
      <c r="E218" s="28">
        <f t="shared" si="9"/>
        <v>45959</v>
      </c>
      <c r="F218" s="27" t="str">
        <f ca="1" t="shared" si="10"/>
        <v>Vencido</v>
      </c>
      <c r="G218" s="26" t="s">
        <v>33</v>
      </c>
      <c r="H218" s="29">
        <v>10</v>
      </c>
      <c r="I218" s="26" t="s">
        <v>30</v>
      </c>
      <c r="J218" s="30" t="s">
        <v>33</v>
      </c>
      <c r="K218" s="29"/>
      <c r="L218" s="30" t="s">
        <v>29</v>
      </c>
      <c r="M218" s="31">
        <v>20</v>
      </c>
      <c r="N218" s="31">
        <v>10</v>
      </c>
      <c r="O218" s="29" t="s">
        <v>29</v>
      </c>
      <c r="P218" s="29">
        <f t="shared" si="11"/>
        <v>20</v>
      </c>
    </row>
    <row r="219" s="10" customFormat="1" ht="16.5" customHeight="1" spans="1:16">
      <c r="A219" s="26">
        <v>3448</v>
      </c>
      <c r="B219" s="26" t="s">
        <v>245</v>
      </c>
      <c r="C219" s="26" t="s">
        <v>32</v>
      </c>
      <c r="D219" s="27">
        <v>45930</v>
      </c>
      <c r="E219" s="28">
        <f t="shared" si="9"/>
        <v>46050</v>
      </c>
      <c r="F219" s="27" t="str">
        <f ca="1" t="shared" si="10"/>
        <v>Vencido</v>
      </c>
      <c r="G219" s="26" t="s">
        <v>29</v>
      </c>
      <c r="H219" s="29">
        <v>5</v>
      </c>
      <c r="I219" s="26" t="s">
        <v>37</v>
      </c>
      <c r="J219" s="30" t="s">
        <v>33</v>
      </c>
      <c r="K219" s="29"/>
      <c r="L219" s="30" t="s">
        <v>33</v>
      </c>
      <c r="M219" s="31"/>
      <c r="N219" s="31">
        <v>0</v>
      </c>
      <c r="O219" s="29" t="s">
        <v>33</v>
      </c>
      <c r="P219" s="29">
        <f t="shared" si="11"/>
        <v>5</v>
      </c>
    </row>
    <row r="220" ht="16.5" customHeight="1" spans="1:16">
      <c r="A220" s="26">
        <v>3449</v>
      </c>
      <c r="B220" s="26" t="s">
        <v>246</v>
      </c>
      <c r="C220" s="26" t="s">
        <v>28</v>
      </c>
      <c r="D220" s="27">
        <v>45931</v>
      </c>
      <c r="E220" s="28">
        <f t="shared" si="9"/>
        <v>45961</v>
      </c>
      <c r="F220" s="27" t="str">
        <f ca="1" t="shared" si="10"/>
        <v>Vencido</v>
      </c>
      <c r="G220" s="26" t="s">
        <v>33</v>
      </c>
      <c r="H220" s="29">
        <v>15</v>
      </c>
      <c r="I220" s="26" t="s">
        <v>30</v>
      </c>
      <c r="J220" s="30" t="s">
        <v>29</v>
      </c>
      <c r="K220" s="29">
        <v>30</v>
      </c>
      <c r="L220" s="30" t="s">
        <v>29</v>
      </c>
      <c r="M220" s="31">
        <v>20</v>
      </c>
      <c r="N220" s="31">
        <v>3</v>
      </c>
      <c r="O220" s="29" t="s">
        <v>29</v>
      </c>
      <c r="P220" s="29">
        <f t="shared" si="11"/>
        <v>62</v>
      </c>
    </row>
    <row r="221" s="10" customFormat="1" ht="16.5" customHeight="1" spans="1:16">
      <c r="A221" s="26">
        <v>3450</v>
      </c>
      <c r="B221" s="26" t="s">
        <v>247</v>
      </c>
      <c r="C221" s="26" t="s">
        <v>36</v>
      </c>
      <c r="D221" s="27">
        <v>45932</v>
      </c>
      <c r="E221" s="28">
        <f t="shared" si="9"/>
        <v>46292</v>
      </c>
      <c r="F221" s="27" t="str">
        <f ca="1" t="shared" si="10"/>
        <v>Vencido</v>
      </c>
      <c r="G221" s="26" t="s">
        <v>29</v>
      </c>
      <c r="H221" s="29">
        <v>10</v>
      </c>
      <c r="I221" s="26" t="s">
        <v>34</v>
      </c>
      <c r="J221" s="30" t="s">
        <v>33</v>
      </c>
      <c r="K221" s="29"/>
      <c r="L221" s="30" t="s">
        <v>29</v>
      </c>
      <c r="M221" s="31">
        <v>20</v>
      </c>
      <c r="N221" s="31">
        <v>15</v>
      </c>
      <c r="O221" s="29" t="s">
        <v>29</v>
      </c>
      <c r="P221" s="29">
        <f t="shared" si="11"/>
        <v>15</v>
      </c>
    </row>
    <row r="222" s="10" customFormat="1" ht="16.5" customHeight="1" spans="1:16">
      <c r="A222" s="26">
        <v>3451</v>
      </c>
      <c r="B222" s="26" t="s">
        <v>248</v>
      </c>
      <c r="C222" s="26" t="s">
        <v>32</v>
      </c>
      <c r="D222" s="27">
        <v>45933</v>
      </c>
      <c r="E222" s="28">
        <f t="shared" si="9"/>
        <v>45963</v>
      </c>
      <c r="F222" s="27" t="str">
        <f ca="1" t="shared" si="10"/>
        <v>Vencido</v>
      </c>
      <c r="G222" s="26" t="s">
        <v>33</v>
      </c>
      <c r="H222" s="29">
        <v>5</v>
      </c>
      <c r="I222" s="26" t="s">
        <v>30</v>
      </c>
      <c r="J222" s="30" t="s">
        <v>33</v>
      </c>
      <c r="K222" s="29"/>
      <c r="L222" s="30" t="s">
        <v>33</v>
      </c>
      <c r="M222" s="31"/>
      <c r="N222" s="31">
        <v>1</v>
      </c>
      <c r="O222" s="29" t="s">
        <v>29</v>
      </c>
      <c r="P222" s="29">
        <f t="shared" si="11"/>
        <v>4</v>
      </c>
    </row>
    <row r="223" ht="16.5" customHeight="1" spans="1:16">
      <c r="A223" s="26">
        <v>3452</v>
      </c>
      <c r="B223" s="26" t="s">
        <v>226</v>
      </c>
      <c r="C223" s="26" t="s">
        <v>28</v>
      </c>
      <c r="D223" s="27">
        <v>45934</v>
      </c>
      <c r="E223" s="28">
        <f t="shared" si="9"/>
        <v>46054</v>
      </c>
      <c r="F223" s="27" t="str">
        <f ca="1" t="shared" si="10"/>
        <v>Vencido</v>
      </c>
      <c r="G223" s="26" t="s">
        <v>29</v>
      </c>
      <c r="H223" s="29">
        <v>15</v>
      </c>
      <c r="I223" s="26" t="s">
        <v>37</v>
      </c>
      <c r="J223" s="30" t="s">
        <v>29</v>
      </c>
      <c r="K223" s="29">
        <v>30</v>
      </c>
      <c r="L223" s="30" t="s">
        <v>29</v>
      </c>
      <c r="M223" s="31">
        <v>20</v>
      </c>
      <c r="N223" s="31">
        <v>7</v>
      </c>
      <c r="O223" s="29" t="s">
        <v>29</v>
      </c>
      <c r="P223" s="29">
        <f t="shared" si="11"/>
        <v>58</v>
      </c>
    </row>
    <row r="224" s="10" customFormat="1" ht="16.5" customHeight="1" spans="1:16">
      <c r="A224" s="26">
        <v>3453</v>
      </c>
      <c r="B224" s="26" t="s">
        <v>80</v>
      </c>
      <c r="C224" s="26" t="s">
        <v>36</v>
      </c>
      <c r="D224" s="27">
        <v>45935</v>
      </c>
      <c r="E224" s="28">
        <f t="shared" si="9"/>
        <v>45965</v>
      </c>
      <c r="F224" s="27" t="str">
        <f ca="1" t="shared" si="10"/>
        <v>Vencido</v>
      </c>
      <c r="G224" s="26" t="s">
        <v>33</v>
      </c>
      <c r="H224" s="29">
        <v>10</v>
      </c>
      <c r="I224" s="26" t="s">
        <v>30</v>
      </c>
      <c r="J224" s="30" t="s">
        <v>33</v>
      </c>
      <c r="K224" s="29"/>
      <c r="L224" s="30" t="s">
        <v>29</v>
      </c>
      <c r="M224" s="31">
        <v>20</v>
      </c>
      <c r="N224" s="31">
        <v>10</v>
      </c>
      <c r="O224" s="29" t="s">
        <v>29</v>
      </c>
      <c r="P224" s="29">
        <f t="shared" si="11"/>
        <v>20</v>
      </c>
    </row>
    <row r="225" s="10" customFormat="1" ht="16.5" customHeight="1" spans="1:16">
      <c r="A225" s="26">
        <v>3454</v>
      </c>
      <c r="B225" s="26" t="s">
        <v>249</v>
      </c>
      <c r="C225" s="26" t="s">
        <v>32</v>
      </c>
      <c r="D225" s="27">
        <v>45936</v>
      </c>
      <c r="E225" s="28">
        <f t="shared" si="9"/>
        <v>46296</v>
      </c>
      <c r="F225" s="27" t="str">
        <f ca="1" t="shared" si="10"/>
        <v>Vencido</v>
      </c>
      <c r="G225" s="26" t="s">
        <v>29</v>
      </c>
      <c r="H225" s="29">
        <v>5</v>
      </c>
      <c r="I225" s="26" t="s">
        <v>34</v>
      </c>
      <c r="J225" s="30" t="s">
        <v>33</v>
      </c>
      <c r="K225" s="29"/>
      <c r="L225" s="30" t="s">
        <v>33</v>
      </c>
      <c r="M225" s="31"/>
      <c r="N225" s="31">
        <v>0</v>
      </c>
      <c r="O225" s="29" t="s">
        <v>33</v>
      </c>
      <c r="P225" s="29">
        <f t="shared" si="11"/>
        <v>5</v>
      </c>
    </row>
    <row r="226" ht="16.5" customHeight="1" spans="1:16">
      <c r="A226" s="26">
        <v>3455</v>
      </c>
      <c r="B226" s="26" t="s">
        <v>250</v>
      </c>
      <c r="C226" s="26" t="s">
        <v>28</v>
      </c>
      <c r="D226" s="27">
        <v>45937</v>
      </c>
      <c r="E226" s="28">
        <f t="shared" si="9"/>
        <v>45967</v>
      </c>
      <c r="F226" s="27" t="str">
        <f ca="1" t="shared" si="10"/>
        <v>Vencido</v>
      </c>
      <c r="G226" s="26" t="s">
        <v>33</v>
      </c>
      <c r="H226" s="29">
        <v>15</v>
      </c>
      <c r="I226" s="26" t="s">
        <v>30</v>
      </c>
      <c r="J226" s="30" t="s">
        <v>29</v>
      </c>
      <c r="K226" s="29">
        <v>30</v>
      </c>
      <c r="L226" s="30" t="s">
        <v>29</v>
      </c>
      <c r="M226" s="31">
        <v>20</v>
      </c>
      <c r="N226" s="31">
        <v>20</v>
      </c>
      <c r="O226" s="29" t="s">
        <v>29</v>
      </c>
      <c r="P226" s="29">
        <f t="shared" si="11"/>
        <v>45</v>
      </c>
    </row>
    <row r="227" s="10" customFormat="1" ht="16.5" customHeight="1" spans="1:16">
      <c r="A227" s="26">
        <v>3456</v>
      </c>
      <c r="B227" s="26" t="s">
        <v>251</v>
      </c>
      <c r="C227" s="26" t="s">
        <v>36</v>
      </c>
      <c r="D227" s="27">
        <v>45938</v>
      </c>
      <c r="E227" s="28">
        <f t="shared" si="9"/>
        <v>46058</v>
      </c>
      <c r="F227" s="27" t="str">
        <f ca="1" t="shared" si="10"/>
        <v>Vencido</v>
      </c>
      <c r="G227" s="26" t="s">
        <v>29</v>
      </c>
      <c r="H227" s="29">
        <v>10</v>
      </c>
      <c r="I227" s="26" t="s">
        <v>37</v>
      </c>
      <c r="J227" s="30" t="s">
        <v>33</v>
      </c>
      <c r="K227" s="29"/>
      <c r="L227" s="30" t="s">
        <v>29</v>
      </c>
      <c r="M227" s="31">
        <v>20</v>
      </c>
      <c r="N227" s="31">
        <v>15</v>
      </c>
      <c r="O227" s="29" t="s">
        <v>29</v>
      </c>
      <c r="P227" s="29">
        <f t="shared" si="11"/>
        <v>15</v>
      </c>
    </row>
    <row r="228" s="10" customFormat="1" ht="16.5" customHeight="1" spans="1:16">
      <c r="A228" s="26">
        <v>3457</v>
      </c>
      <c r="B228" s="26" t="s">
        <v>252</v>
      </c>
      <c r="C228" s="26" t="s">
        <v>32</v>
      </c>
      <c r="D228" s="27">
        <v>45939</v>
      </c>
      <c r="E228" s="28">
        <f t="shared" si="9"/>
        <v>45969</v>
      </c>
      <c r="F228" s="27" t="str">
        <f ca="1" t="shared" si="10"/>
        <v>Vencido</v>
      </c>
      <c r="G228" s="26" t="s">
        <v>33</v>
      </c>
      <c r="H228" s="29">
        <v>5</v>
      </c>
      <c r="I228" s="26" t="s">
        <v>30</v>
      </c>
      <c r="J228" s="30" t="s">
        <v>33</v>
      </c>
      <c r="K228" s="29"/>
      <c r="L228" s="30" t="s">
        <v>33</v>
      </c>
      <c r="M228" s="31"/>
      <c r="N228" s="31">
        <v>1</v>
      </c>
      <c r="O228" s="29" t="s">
        <v>29</v>
      </c>
      <c r="P228" s="29">
        <f t="shared" si="11"/>
        <v>4</v>
      </c>
    </row>
    <row r="229" ht="16.5" customHeight="1" spans="1:16">
      <c r="A229" s="26">
        <v>3458</v>
      </c>
      <c r="B229" s="26" t="s">
        <v>253</v>
      </c>
      <c r="C229" s="26" t="s">
        <v>28</v>
      </c>
      <c r="D229" s="27">
        <v>45940</v>
      </c>
      <c r="E229" s="28">
        <f t="shared" si="9"/>
        <v>46300</v>
      </c>
      <c r="F229" s="27" t="str">
        <f ca="1" t="shared" si="10"/>
        <v>Vencido</v>
      </c>
      <c r="G229" s="26" t="s">
        <v>29</v>
      </c>
      <c r="H229" s="29">
        <v>15</v>
      </c>
      <c r="I229" s="26" t="s">
        <v>34</v>
      </c>
      <c r="J229" s="30" t="s">
        <v>29</v>
      </c>
      <c r="K229" s="29">
        <v>30</v>
      </c>
      <c r="L229" s="30" t="s">
        <v>29</v>
      </c>
      <c r="M229" s="31">
        <v>20</v>
      </c>
      <c r="N229" s="31">
        <v>3</v>
      </c>
      <c r="O229" s="29" t="s">
        <v>29</v>
      </c>
      <c r="P229" s="29">
        <f t="shared" si="11"/>
        <v>62</v>
      </c>
    </row>
    <row r="230" s="10" customFormat="1" ht="16.5" customHeight="1" spans="1:16">
      <c r="A230" s="26">
        <v>3459</v>
      </c>
      <c r="B230" s="26" t="s">
        <v>254</v>
      </c>
      <c r="C230" s="26" t="s">
        <v>36</v>
      </c>
      <c r="D230" s="27">
        <v>45941</v>
      </c>
      <c r="E230" s="28">
        <f t="shared" si="9"/>
        <v>45971</v>
      </c>
      <c r="F230" s="27" t="str">
        <f ca="1" t="shared" si="10"/>
        <v>Vencido</v>
      </c>
      <c r="G230" s="26" t="s">
        <v>33</v>
      </c>
      <c r="H230" s="29">
        <v>10</v>
      </c>
      <c r="I230" s="26" t="s">
        <v>30</v>
      </c>
      <c r="J230" s="30" t="s">
        <v>33</v>
      </c>
      <c r="K230" s="29"/>
      <c r="L230" s="30" t="s">
        <v>29</v>
      </c>
      <c r="M230" s="31">
        <v>20</v>
      </c>
      <c r="N230" s="31">
        <v>10</v>
      </c>
      <c r="O230" s="29" t="s">
        <v>29</v>
      </c>
      <c r="P230" s="29">
        <f t="shared" si="11"/>
        <v>20</v>
      </c>
    </row>
    <row r="231" s="10" customFormat="1" ht="16.5" customHeight="1" spans="1:16">
      <c r="A231" s="26">
        <v>3460</v>
      </c>
      <c r="B231" s="26" t="s">
        <v>162</v>
      </c>
      <c r="C231" s="26" t="s">
        <v>32</v>
      </c>
      <c r="D231" s="27">
        <v>45942</v>
      </c>
      <c r="E231" s="28">
        <f t="shared" si="9"/>
        <v>46062</v>
      </c>
      <c r="F231" s="27" t="str">
        <f ca="1" t="shared" si="10"/>
        <v>Vencido</v>
      </c>
      <c r="G231" s="26" t="s">
        <v>29</v>
      </c>
      <c r="H231" s="29">
        <v>5</v>
      </c>
      <c r="I231" s="26" t="s">
        <v>37</v>
      </c>
      <c r="J231" s="30" t="s">
        <v>33</v>
      </c>
      <c r="K231" s="29"/>
      <c r="L231" s="30" t="s">
        <v>33</v>
      </c>
      <c r="M231" s="31"/>
      <c r="N231" s="31">
        <v>0</v>
      </c>
      <c r="O231" s="29" t="s">
        <v>33</v>
      </c>
      <c r="P231" s="29">
        <f t="shared" si="11"/>
        <v>5</v>
      </c>
    </row>
    <row r="232" ht="16.5" customHeight="1" spans="1:16">
      <c r="A232" s="26">
        <v>3461</v>
      </c>
      <c r="B232" s="26" t="s">
        <v>255</v>
      </c>
      <c r="C232" s="26" t="s">
        <v>28</v>
      </c>
      <c r="D232" s="27">
        <v>45943</v>
      </c>
      <c r="E232" s="28">
        <f t="shared" si="9"/>
        <v>45973</v>
      </c>
      <c r="F232" s="27" t="str">
        <f ca="1" t="shared" si="10"/>
        <v>Vencido</v>
      </c>
      <c r="G232" s="26" t="s">
        <v>33</v>
      </c>
      <c r="H232" s="29">
        <v>15</v>
      </c>
      <c r="I232" s="26" t="s">
        <v>30</v>
      </c>
      <c r="J232" s="30" t="s">
        <v>29</v>
      </c>
      <c r="K232" s="29">
        <v>30</v>
      </c>
      <c r="L232" s="30" t="s">
        <v>29</v>
      </c>
      <c r="M232" s="31">
        <v>20</v>
      </c>
      <c r="N232" s="31">
        <v>15</v>
      </c>
      <c r="O232" s="29" t="s">
        <v>29</v>
      </c>
      <c r="P232" s="29">
        <f t="shared" si="11"/>
        <v>50</v>
      </c>
    </row>
    <row r="233" s="10" customFormat="1" ht="16.5" customHeight="1" spans="1:16">
      <c r="A233" s="26">
        <v>3462</v>
      </c>
      <c r="B233" s="26" t="s">
        <v>256</v>
      </c>
      <c r="C233" s="26" t="s">
        <v>36</v>
      </c>
      <c r="D233" s="27">
        <v>45944</v>
      </c>
      <c r="E233" s="28">
        <f t="shared" si="9"/>
        <v>46304</v>
      </c>
      <c r="F233" s="27" t="str">
        <f ca="1" t="shared" si="10"/>
        <v>Vencido</v>
      </c>
      <c r="G233" s="26" t="s">
        <v>29</v>
      </c>
      <c r="H233" s="29">
        <v>10</v>
      </c>
      <c r="I233" s="26" t="s">
        <v>34</v>
      </c>
      <c r="J233" s="30" t="s">
        <v>33</v>
      </c>
      <c r="K233" s="29"/>
      <c r="L233" s="30" t="s">
        <v>29</v>
      </c>
      <c r="M233" s="31">
        <v>20</v>
      </c>
      <c r="N233" s="31">
        <v>15</v>
      </c>
      <c r="O233" s="29" t="s">
        <v>29</v>
      </c>
      <c r="P233" s="29">
        <f t="shared" si="11"/>
        <v>15</v>
      </c>
    </row>
    <row r="234" s="10" customFormat="1" ht="16.5" customHeight="1" spans="1:16">
      <c r="A234" s="26">
        <v>3463</v>
      </c>
      <c r="B234" s="26" t="s">
        <v>257</v>
      </c>
      <c r="C234" s="26" t="s">
        <v>32</v>
      </c>
      <c r="D234" s="27">
        <v>45945</v>
      </c>
      <c r="E234" s="28">
        <f t="shared" si="9"/>
        <v>45975</v>
      </c>
      <c r="F234" s="27" t="str">
        <f ca="1" t="shared" si="10"/>
        <v>Vencido</v>
      </c>
      <c r="G234" s="26" t="s">
        <v>33</v>
      </c>
      <c r="H234" s="29">
        <v>5</v>
      </c>
      <c r="I234" s="26" t="s">
        <v>30</v>
      </c>
      <c r="J234" s="30" t="s">
        <v>33</v>
      </c>
      <c r="K234" s="29"/>
      <c r="L234" s="30" t="s">
        <v>33</v>
      </c>
      <c r="M234" s="31"/>
      <c r="N234" s="31">
        <v>1</v>
      </c>
      <c r="O234" s="29" t="s">
        <v>29</v>
      </c>
      <c r="P234" s="29">
        <f t="shared" si="11"/>
        <v>4</v>
      </c>
    </row>
    <row r="235" ht="16.5" customHeight="1" spans="1:16">
      <c r="A235" s="26">
        <v>3464</v>
      </c>
      <c r="B235" s="26" t="s">
        <v>258</v>
      </c>
      <c r="C235" s="26" t="s">
        <v>28</v>
      </c>
      <c r="D235" s="27">
        <v>45946</v>
      </c>
      <c r="E235" s="28">
        <f t="shared" si="9"/>
        <v>46066</v>
      </c>
      <c r="F235" s="27" t="str">
        <f ca="1" t="shared" si="10"/>
        <v>Vencido</v>
      </c>
      <c r="G235" s="26" t="s">
        <v>29</v>
      </c>
      <c r="H235" s="29">
        <v>15</v>
      </c>
      <c r="I235" s="26" t="s">
        <v>37</v>
      </c>
      <c r="J235" s="30" t="s">
        <v>29</v>
      </c>
      <c r="K235" s="29">
        <v>30</v>
      </c>
      <c r="L235" s="30" t="s">
        <v>29</v>
      </c>
      <c r="M235" s="31">
        <v>20</v>
      </c>
      <c r="N235" s="31">
        <v>7</v>
      </c>
      <c r="O235" s="29" t="s">
        <v>29</v>
      </c>
      <c r="P235" s="29">
        <f t="shared" si="11"/>
        <v>58</v>
      </c>
    </row>
    <row r="236" s="10" customFormat="1" ht="16.5" customHeight="1" spans="1:16">
      <c r="A236" s="26">
        <v>3465</v>
      </c>
      <c r="B236" s="26" t="s">
        <v>259</v>
      </c>
      <c r="C236" s="26" t="s">
        <v>36</v>
      </c>
      <c r="D236" s="27">
        <v>45947</v>
      </c>
      <c r="E236" s="28">
        <f t="shared" si="9"/>
        <v>45977</v>
      </c>
      <c r="F236" s="27" t="str">
        <f ca="1" t="shared" si="10"/>
        <v>Vencido</v>
      </c>
      <c r="G236" s="26" t="s">
        <v>33</v>
      </c>
      <c r="H236" s="29">
        <v>10</v>
      </c>
      <c r="I236" s="26" t="s">
        <v>30</v>
      </c>
      <c r="J236" s="30" t="s">
        <v>33</v>
      </c>
      <c r="K236" s="29"/>
      <c r="L236" s="30" t="s">
        <v>29</v>
      </c>
      <c r="M236" s="31">
        <v>20</v>
      </c>
      <c r="N236" s="31">
        <v>10</v>
      </c>
      <c r="O236" s="29" t="s">
        <v>29</v>
      </c>
      <c r="P236" s="29">
        <f t="shared" si="11"/>
        <v>20</v>
      </c>
    </row>
    <row r="237" s="10" customFormat="1" ht="16.5" customHeight="1" spans="1:16">
      <c r="A237" s="26">
        <v>3466</v>
      </c>
      <c r="B237" s="26" t="s">
        <v>260</v>
      </c>
      <c r="C237" s="26" t="s">
        <v>32</v>
      </c>
      <c r="D237" s="27">
        <v>45948</v>
      </c>
      <c r="E237" s="28">
        <f t="shared" si="9"/>
        <v>46308</v>
      </c>
      <c r="F237" s="27" t="str">
        <f ca="1" t="shared" si="10"/>
        <v>Vencido</v>
      </c>
      <c r="G237" s="26" t="s">
        <v>29</v>
      </c>
      <c r="H237" s="29">
        <v>5</v>
      </c>
      <c r="I237" s="26" t="s">
        <v>34</v>
      </c>
      <c r="J237" s="30" t="s">
        <v>33</v>
      </c>
      <c r="K237" s="29"/>
      <c r="L237" s="30" t="s">
        <v>33</v>
      </c>
      <c r="M237" s="31"/>
      <c r="N237" s="31">
        <v>0</v>
      </c>
      <c r="O237" s="29" t="s">
        <v>33</v>
      </c>
      <c r="P237" s="29">
        <f t="shared" si="11"/>
        <v>5</v>
      </c>
    </row>
    <row r="238" ht="16.5" customHeight="1" spans="1:16">
      <c r="A238" s="26">
        <v>3467</v>
      </c>
      <c r="B238" s="26" t="s">
        <v>261</v>
      </c>
      <c r="C238" s="26" t="s">
        <v>28</v>
      </c>
      <c r="D238" s="27">
        <v>45949</v>
      </c>
      <c r="E238" s="28">
        <f t="shared" si="9"/>
        <v>45979</v>
      </c>
      <c r="F238" s="27" t="str">
        <f ca="1" t="shared" si="10"/>
        <v>Vencido</v>
      </c>
      <c r="G238" s="26" t="s">
        <v>33</v>
      </c>
      <c r="H238" s="29">
        <v>15</v>
      </c>
      <c r="I238" s="26" t="s">
        <v>30</v>
      </c>
      <c r="J238" s="30" t="s">
        <v>29</v>
      </c>
      <c r="K238" s="29">
        <v>30</v>
      </c>
      <c r="L238" s="30" t="s">
        <v>29</v>
      </c>
      <c r="M238" s="31">
        <v>20</v>
      </c>
      <c r="N238" s="31">
        <v>15</v>
      </c>
      <c r="O238" s="29" t="s">
        <v>29</v>
      </c>
      <c r="P238" s="29">
        <f t="shared" si="11"/>
        <v>50</v>
      </c>
    </row>
    <row r="239" s="10" customFormat="1" ht="16.5" customHeight="1" spans="1:16">
      <c r="A239" s="26">
        <v>3468</v>
      </c>
      <c r="B239" s="26" t="s">
        <v>262</v>
      </c>
      <c r="C239" s="26" t="s">
        <v>36</v>
      </c>
      <c r="D239" s="27">
        <v>45950</v>
      </c>
      <c r="E239" s="28">
        <f t="shared" si="9"/>
        <v>46070</v>
      </c>
      <c r="F239" s="27" t="str">
        <f ca="1" t="shared" si="10"/>
        <v>Vencido</v>
      </c>
      <c r="G239" s="26" t="s">
        <v>29</v>
      </c>
      <c r="H239" s="29">
        <v>10</v>
      </c>
      <c r="I239" s="26" t="s">
        <v>37</v>
      </c>
      <c r="J239" s="30" t="s">
        <v>33</v>
      </c>
      <c r="K239" s="29"/>
      <c r="L239" s="30" t="s">
        <v>29</v>
      </c>
      <c r="M239" s="31">
        <v>20</v>
      </c>
      <c r="N239" s="31">
        <v>12</v>
      </c>
      <c r="O239" s="29" t="s">
        <v>29</v>
      </c>
      <c r="P239" s="29">
        <f t="shared" si="11"/>
        <v>18</v>
      </c>
    </row>
    <row r="240" s="10" customFormat="1" ht="16.5" customHeight="1" spans="1:16">
      <c r="A240" s="26">
        <v>3469</v>
      </c>
      <c r="B240" s="26" t="s">
        <v>263</v>
      </c>
      <c r="C240" s="26" t="s">
        <v>32</v>
      </c>
      <c r="D240" s="27">
        <v>45951</v>
      </c>
      <c r="E240" s="28">
        <f t="shared" si="9"/>
        <v>45981</v>
      </c>
      <c r="F240" s="27" t="str">
        <f ca="1" t="shared" si="10"/>
        <v>Vencido</v>
      </c>
      <c r="G240" s="26" t="s">
        <v>33</v>
      </c>
      <c r="H240" s="29">
        <v>5</v>
      </c>
      <c r="I240" s="26" t="s">
        <v>30</v>
      </c>
      <c r="J240" s="30" t="s">
        <v>33</v>
      </c>
      <c r="K240" s="29"/>
      <c r="L240" s="30" t="s">
        <v>33</v>
      </c>
      <c r="M240" s="31"/>
      <c r="N240" s="31">
        <v>2</v>
      </c>
      <c r="O240" s="29" t="s">
        <v>29</v>
      </c>
      <c r="P240" s="29">
        <f t="shared" si="11"/>
        <v>3</v>
      </c>
    </row>
    <row r="241" ht="16.5" customHeight="1" spans="1:16">
      <c r="A241" s="26">
        <v>3470</v>
      </c>
      <c r="B241" s="26" t="s">
        <v>264</v>
      </c>
      <c r="C241" s="26" t="s">
        <v>28</v>
      </c>
      <c r="D241" s="27">
        <v>45952</v>
      </c>
      <c r="E241" s="28">
        <f t="shared" si="9"/>
        <v>46312</v>
      </c>
      <c r="F241" s="27" t="str">
        <f ca="1" t="shared" si="10"/>
        <v>Vencido</v>
      </c>
      <c r="G241" s="26" t="s">
        <v>29</v>
      </c>
      <c r="H241" s="29">
        <v>15</v>
      </c>
      <c r="I241" s="26" t="s">
        <v>34</v>
      </c>
      <c r="J241" s="30" t="s">
        <v>29</v>
      </c>
      <c r="K241" s="29">
        <v>30</v>
      </c>
      <c r="L241" s="30" t="s">
        <v>29</v>
      </c>
      <c r="M241" s="31">
        <v>20</v>
      </c>
      <c r="N241" s="31">
        <v>5</v>
      </c>
      <c r="O241" s="29" t="s">
        <v>29</v>
      </c>
      <c r="P241" s="29">
        <f t="shared" si="11"/>
        <v>60</v>
      </c>
    </row>
    <row r="242" s="10" customFormat="1" ht="16.5" customHeight="1" spans="1:16">
      <c r="A242" s="26">
        <v>3471</v>
      </c>
      <c r="B242" s="26" t="s">
        <v>265</v>
      </c>
      <c r="C242" s="26" t="s">
        <v>36</v>
      </c>
      <c r="D242" s="27">
        <v>45953</v>
      </c>
      <c r="E242" s="28">
        <f t="shared" si="9"/>
        <v>45983</v>
      </c>
      <c r="F242" s="27" t="str">
        <f ca="1" t="shared" si="10"/>
        <v>Vencido</v>
      </c>
      <c r="G242" s="26" t="s">
        <v>33</v>
      </c>
      <c r="H242" s="29">
        <v>10</v>
      </c>
      <c r="I242" s="26" t="s">
        <v>30</v>
      </c>
      <c r="J242" s="30" t="s">
        <v>33</v>
      </c>
      <c r="K242" s="29"/>
      <c r="L242" s="30" t="s">
        <v>29</v>
      </c>
      <c r="M242" s="31">
        <v>20</v>
      </c>
      <c r="N242" s="31">
        <v>10</v>
      </c>
      <c r="O242" s="29" t="s">
        <v>29</v>
      </c>
      <c r="P242" s="29">
        <f t="shared" si="11"/>
        <v>20</v>
      </c>
    </row>
    <row r="243" s="10" customFormat="1" ht="16.5" customHeight="1" spans="1:16">
      <c r="A243" s="26">
        <v>3472</v>
      </c>
      <c r="B243" s="26" t="s">
        <v>266</v>
      </c>
      <c r="C243" s="26" t="s">
        <v>32</v>
      </c>
      <c r="D243" s="27">
        <v>45954</v>
      </c>
      <c r="E243" s="28">
        <f t="shared" si="9"/>
        <v>46074</v>
      </c>
      <c r="F243" s="27" t="str">
        <f ca="1" t="shared" si="10"/>
        <v>Vencido</v>
      </c>
      <c r="G243" s="26" t="s">
        <v>29</v>
      </c>
      <c r="H243" s="29">
        <v>5</v>
      </c>
      <c r="I243" s="26" t="s">
        <v>37</v>
      </c>
      <c r="J243" s="30" t="s">
        <v>33</v>
      </c>
      <c r="K243" s="29"/>
      <c r="L243" s="30" t="s">
        <v>33</v>
      </c>
      <c r="M243" s="31"/>
      <c r="N243" s="31">
        <v>0</v>
      </c>
      <c r="O243" s="29" t="s">
        <v>33</v>
      </c>
      <c r="P243" s="29">
        <f t="shared" si="11"/>
        <v>5</v>
      </c>
    </row>
    <row r="244" ht="16.5" customHeight="1" spans="1:16">
      <c r="A244" s="26">
        <v>3473</v>
      </c>
      <c r="B244" s="26" t="s">
        <v>175</v>
      </c>
      <c r="C244" s="26" t="s">
        <v>28</v>
      </c>
      <c r="D244" s="27">
        <v>45955</v>
      </c>
      <c r="E244" s="28">
        <f t="shared" si="9"/>
        <v>45985</v>
      </c>
      <c r="F244" s="27" t="str">
        <f ca="1" t="shared" si="10"/>
        <v>Vencido</v>
      </c>
      <c r="G244" s="26" t="s">
        <v>33</v>
      </c>
      <c r="H244" s="29">
        <v>15</v>
      </c>
      <c r="I244" s="26" t="s">
        <v>30</v>
      </c>
      <c r="J244" s="30" t="s">
        <v>29</v>
      </c>
      <c r="K244" s="29">
        <v>30</v>
      </c>
      <c r="L244" s="30" t="s">
        <v>29</v>
      </c>
      <c r="M244" s="31">
        <v>20</v>
      </c>
      <c r="N244" s="31">
        <v>3</v>
      </c>
      <c r="O244" s="29" t="s">
        <v>29</v>
      </c>
      <c r="P244" s="29">
        <f t="shared" si="11"/>
        <v>62</v>
      </c>
    </row>
    <row r="245" s="10" customFormat="1" ht="16.5" customHeight="1" spans="1:16">
      <c r="A245" s="26">
        <v>3474</v>
      </c>
      <c r="B245" s="26" t="s">
        <v>267</v>
      </c>
      <c r="C245" s="26" t="s">
        <v>36</v>
      </c>
      <c r="D245" s="27">
        <v>45956</v>
      </c>
      <c r="E245" s="28">
        <f t="shared" si="9"/>
        <v>46316</v>
      </c>
      <c r="F245" s="27" t="str">
        <f ca="1" t="shared" si="10"/>
        <v>A vencer</v>
      </c>
      <c r="G245" s="26" t="s">
        <v>29</v>
      </c>
      <c r="H245" s="29">
        <v>10</v>
      </c>
      <c r="I245" s="26" t="s">
        <v>34</v>
      </c>
      <c r="J245" s="30" t="s">
        <v>33</v>
      </c>
      <c r="K245" s="29"/>
      <c r="L245" s="30" t="s">
        <v>29</v>
      </c>
      <c r="M245" s="31">
        <v>20</v>
      </c>
      <c r="N245" s="31">
        <v>15</v>
      </c>
      <c r="O245" s="29" t="s">
        <v>29</v>
      </c>
      <c r="P245" s="29">
        <f t="shared" si="11"/>
        <v>15</v>
      </c>
    </row>
    <row r="246" s="10" customFormat="1" ht="16.5" customHeight="1" spans="1:16">
      <c r="A246" s="26">
        <v>3475</v>
      </c>
      <c r="B246" s="26" t="s">
        <v>268</v>
      </c>
      <c r="C246" s="26" t="s">
        <v>32</v>
      </c>
      <c r="D246" s="27">
        <v>45957</v>
      </c>
      <c r="E246" s="28">
        <f t="shared" si="9"/>
        <v>45987</v>
      </c>
      <c r="F246" s="27" t="str">
        <f ca="1" t="shared" si="10"/>
        <v>Vencido</v>
      </c>
      <c r="G246" s="26" t="s">
        <v>33</v>
      </c>
      <c r="H246" s="29">
        <v>5</v>
      </c>
      <c r="I246" s="26" t="s">
        <v>30</v>
      </c>
      <c r="J246" s="30" t="s">
        <v>33</v>
      </c>
      <c r="K246" s="29"/>
      <c r="L246" s="30" t="s">
        <v>33</v>
      </c>
      <c r="M246" s="31"/>
      <c r="N246" s="31">
        <v>1</v>
      </c>
      <c r="O246" s="29" t="s">
        <v>29</v>
      </c>
      <c r="P246" s="29">
        <f t="shared" si="11"/>
        <v>4</v>
      </c>
    </row>
    <row r="247" ht="16.5" customHeight="1" spans="1:16">
      <c r="A247" s="26">
        <v>3476</v>
      </c>
      <c r="B247" s="26" t="s">
        <v>269</v>
      </c>
      <c r="C247" s="26" t="s">
        <v>28</v>
      </c>
      <c r="D247" s="27">
        <v>45958</v>
      </c>
      <c r="E247" s="28">
        <f t="shared" si="9"/>
        <v>46078</v>
      </c>
      <c r="F247" s="27" t="str">
        <f ca="1" t="shared" si="10"/>
        <v>Vencido</v>
      </c>
      <c r="G247" s="26" t="s">
        <v>29</v>
      </c>
      <c r="H247" s="29">
        <v>15</v>
      </c>
      <c r="I247" s="26" t="s">
        <v>37</v>
      </c>
      <c r="J247" s="30" t="s">
        <v>29</v>
      </c>
      <c r="K247" s="29">
        <v>30</v>
      </c>
      <c r="L247" s="30" t="s">
        <v>29</v>
      </c>
      <c r="M247" s="31">
        <v>20</v>
      </c>
      <c r="N247" s="31">
        <v>7</v>
      </c>
      <c r="O247" s="29" t="s">
        <v>29</v>
      </c>
      <c r="P247" s="29">
        <f t="shared" si="11"/>
        <v>58</v>
      </c>
    </row>
    <row r="248" s="10" customFormat="1" ht="16.5" customHeight="1" spans="1:16">
      <c r="A248" s="26">
        <v>3477</v>
      </c>
      <c r="B248" s="26" t="s">
        <v>270</v>
      </c>
      <c r="C248" s="26" t="s">
        <v>36</v>
      </c>
      <c r="D248" s="27">
        <v>45959</v>
      </c>
      <c r="E248" s="28">
        <f t="shared" si="9"/>
        <v>45989</v>
      </c>
      <c r="F248" s="27" t="str">
        <f ca="1" t="shared" si="10"/>
        <v>Vencido</v>
      </c>
      <c r="G248" s="26" t="s">
        <v>33</v>
      </c>
      <c r="H248" s="29">
        <v>10</v>
      </c>
      <c r="I248" s="26" t="s">
        <v>30</v>
      </c>
      <c r="J248" s="30" t="s">
        <v>33</v>
      </c>
      <c r="K248" s="29"/>
      <c r="L248" s="30" t="s">
        <v>29</v>
      </c>
      <c r="M248" s="31">
        <v>20</v>
      </c>
      <c r="N248" s="31">
        <v>10</v>
      </c>
      <c r="O248" s="29" t="s">
        <v>29</v>
      </c>
      <c r="P248" s="29">
        <f t="shared" si="11"/>
        <v>20</v>
      </c>
    </row>
    <row r="249" s="10" customFormat="1" ht="16.5" customHeight="1" spans="1:16">
      <c r="A249" s="26">
        <v>3478</v>
      </c>
      <c r="B249" s="26" t="s">
        <v>271</v>
      </c>
      <c r="C249" s="26" t="s">
        <v>32</v>
      </c>
      <c r="D249" s="27">
        <v>45960</v>
      </c>
      <c r="E249" s="28">
        <f t="shared" si="9"/>
        <v>46320</v>
      </c>
      <c r="F249" s="27" t="str">
        <f ca="1" t="shared" si="10"/>
        <v>A vencer</v>
      </c>
      <c r="G249" s="26" t="s">
        <v>29</v>
      </c>
      <c r="H249" s="29">
        <v>5</v>
      </c>
      <c r="I249" s="26" t="s">
        <v>34</v>
      </c>
      <c r="J249" s="30" t="s">
        <v>33</v>
      </c>
      <c r="K249" s="29"/>
      <c r="L249" s="30" t="s">
        <v>33</v>
      </c>
      <c r="M249" s="31"/>
      <c r="N249" s="31">
        <v>0</v>
      </c>
      <c r="O249" s="29" t="s">
        <v>33</v>
      </c>
      <c r="P249" s="29">
        <f t="shared" si="11"/>
        <v>5</v>
      </c>
    </row>
    <row r="250" ht="16.5" customHeight="1" spans="1:16">
      <c r="A250" s="26">
        <v>3479</v>
      </c>
      <c r="B250" s="26" t="s">
        <v>272</v>
      </c>
      <c r="C250" s="26" t="s">
        <v>28</v>
      </c>
      <c r="D250" s="27">
        <v>45961</v>
      </c>
      <c r="E250" s="28">
        <f t="shared" si="9"/>
        <v>45991</v>
      </c>
      <c r="F250" s="27" t="str">
        <f ca="1" t="shared" si="10"/>
        <v>Vencido</v>
      </c>
      <c r="G250" s="26" t="s">
        <v>33</v>
      </c>
      <c r="H250" s="29">
        <v>15</v>
      </c>
      <c r="I250" s="26" t="s">
        <v>30</v>
      </c>
      <c r="J250" s="30" t="s">
        <v>29</v>
      </c>
      <c r="K250" s="29">
        <v>30</v>
      </c>
      <c r="L250" s="30" t="s">
        <v>29</v>
      </c>
      <c r="M250" s="31">
        <v>20</v>
      </c>
      <c r="N250" s="31">
        <v>20</v>
      </c>
      <c r="O250" s="29" t="s">
        <v>29</v>
      </c>
      <c r="P250" s="29">
        <f t="shared" si="11"/>
        <v>45</v>
      </c>
    </row>
    <row r="251" s="10" customFormat="1" ht="16.5" customHeight="1" spans="1:16">
      <c r="A251" s="26">
        <v>3480</v>
      </c>
      <c r="B251" s="26" t="s">
        <v>273</v>
      </c>
      <c r="C251" s="26" t="s">
        <v>36</v>
      </c>
      <c r="D251" s="27">
        <v>45962</v>
      </c>
      <c r="E251" s="28">
        <f t="shared" si="9"/>
        <v>46082</v>
      </c>
      <c r="F251" s="27" t="str">
        <f ca="1" t="shared" si="10"/>
        <v>Vencido</v>
      </c>
      <c r="G251" s="26" t="s">
        <v>29</v>
      </c>
      <c r="H251" s="29">
        <v>10</v>
      </c>
      <c r="I251" s="26" t="s">
        <v>37</v>
      </c>
      <c r="J251" s="30" t="s">
        <v>33</v>
      </c>
      <c r="K251" s="29"/>
      <c r="L251" s="30" t="s">
        <v>29</v>
      </c>
      <c r="M251" s="31">
        <v>20</v>
      </c>
      <c r="N251" s="31">
        <v>15</v>
      </c>
      <c r="O251" s="29" t="s">
        <v>29</v>
      </c>
      <c r="P251" s="29">
        <f t="shared" si="11"/>
        <v>15</v>
      </c>
    </row>
    <row r="252" s="10" customFormat="1" ht="16.5" customHeight="1" spans="1:16">
      <c r="A252" s="26">
        <v>3481</v>
      </c>
      <c r="B252" s="26" t="s">
        <v>274</v>
      </c>
      <c r="C252" s="26" t="s">
        <v>32</v>
      </c>
      <c r="D252" s="27">
        <v>45963</v>
      </c>
      <c r="E252" s="28">
        <f t="shared" si="9"/>
        <v>45993</v>
      </c>
      <c r="F252" s="27" t="str">
        <f ca="1" t="shared" si="10"/>
        <v>Vencido</v>
      </c>
      <c r="G252" s="26" t="s">
        <v>33</v>
      </c>
      <c r="H252" s="29">
        <v>5</v>
      </c>
      <c r="I252" s="26" t="s">
        <v>30</v>
      </c>
      <c r="J252" s="30" t="s">
        <v>33</v>
      </c>
      <c r="K252" s="29"/>
      <c r="L252" s="30" t="s">
        <v>33</v>
      </c>
      <c r="M252" s="31"/>
      <c r="N252" s="31">
        <v>1</v>
      </c>
      <c r="O252" s="29" t="s">
        <v>29</v>
      </c>
      <c r="P252" s="29">
        <f t="shared" si="11"/>
        <v>4</v>
      </c>
    </row>
    <row r="253" ht="16.5" customHeight="1" spans="1:16">
      <c r="A253" s="26">
        <v>3482</v>
      </c>
      <c r="B253" s="26" t="s">
        <v>275</v>
      </c>
      <c r="C253" s="26" t="s">
        <v>28</v>
      </c>
      <c r="D253" s="27">
        <v>45964</v>
      </c>
      <c r="E253" s="28">
        <f t="shared" si="9"/>
        <v>46324</v>
      </c>
      <c r="F253" s="27" t="str">
        <f ca="1" t="shared" si="10"/>
        <v>A vencer</v>
      </c>
      <c r="G253" s="26" t="s">
        <v>29</v>
      </c>
      <c r="H253" s="29">
        <v>15</v>
      </c>
      <c r="I253" s="26" t="s">
        <v>34</v>
      </c>
      <c r="J253" s="30" t="s">
        <v>29</v>
      </c>
      <c r="K253" s="29">
        <v>30</v>
      </c>
      <c r="L253" s="30" t="s">
        <v>29</v>
      </c>
      <c r="M253" s="31">
        <v>20</v>
      </c>
      <c r="N253" s="31">
        <v>3</v>
      </c>
      <c r="O253" s="29" t="s">
        <v>29</v>
      </c>
      <c r="P253" s="29">
        <f t="shared" si="11"/>
        <v>62</v>
      </c>
    </row>
    <row r="254" s="10" customFormat="1" ht="16.5" customHeight="1" spans="1:16">
      <c r="A254" s="26">
        <v>3483</v>
      </c>
      <c r="B254" s="26" t="s">
        <v>276</v>
      </c>
      <c r="C254" s="26" t="s">
        <v>36</v>
      </c>
      <c r="D254" s="27">
        <v>45965</v>
      </c>
      <c r="E254" s="28">
        <f t="shared" si="9"/>
        <v>45995</v>
      </c>
      <c r="F254" s="27" t="str">
        <f ca="1" t="shared" si="10"/>
        <v>Vencido</v>
      </c>
      <c r="G254" s="26" t="s">
        <v>33</v>
      </c>
      <c r="H254" s="29">
        <v>10</v>
      </c>
      <c r="I254" s="26" t="s">
        <v>30</v>
      </c>
      <c r="J254" s="30" t="s">
        <v>33</v>
      </c>
      <c r="K254" s="29"/>
      <c r="L254" s="30" t="s">
        <v>29</v>
      </c>
      <c r="M254" s="31">
        <v>20</v>
      </c>
      <c r="N254" s="31">
        <v>10</v>
      </c>
      <c r="O254" s="29" t="s">
        <v>29</v>
      </c>
      <c r="P254" s="29">
        <f t="shared" si="11"/>
        <v>20</v>
      </c>
    </row>
    <row r="255" s="10" customFormat="1" ht="16.5" customHeight="1" spans="1:16">
      <c r="A255" s="26">
        <v>3484</v>
      </c>
      <c r="B255" s="26" t="s">
        <v>277</v>
      </c>
      <c r="C255" s="26" t="s">
        <v>32</v>
      </c>
      <c r="D255" s="27">
        <v>45966</v>
      </c>
      <c r="E255" s="28">
        <f t="shared" si="9"/>
        <v>46086</v>
      </c>
      <c r="F255" s="27" t="str">
        <f ca="1" t="shared" si="10"/>
        <v>Vencido</v>
      </c>
      <c r="G255" s="26" t="s">
        <v>29</v>
      </c>
      <c r="H255" s="29">
        <v>5</v>
      </c>
      <c r="I255" s="26" t="s">
        <v>37</v>
      </c>
      <c r="J255" s="30" t="s">
        <v>33</v>
      </c>
      <c r="K255" s="29"/>
      <c r="L255" s="30" t="s">
        <v>33</v>
      </c>
      <c r="M255" s="31"/>
      <c r="N255" s="31">
        <v>0</v>
      </c>
      <c r="O255" s="29" t="s">
        <v>33</v>
      </c>
      <c r="P255" s="29">
        <f t="shared" si="11"/>
        <v>5</v>
      </c>
    </row>
    <row r="256" ht="16.5" customHeight="1" spans="1:16">
      <c r="A256" s="26">
        <v>3485</v>
      </c>
      <c r="B256" s="26" t="s">
        <v>278</v>
      </c>
      <c r="C256" s="26" t="s">
        <v>28</v>
      </c>
      <c r="D256" s="27">
        <v>45967</v>
      </c>
      <c r="E256" s="28">
        <f t="shared" si="9"/>
        <v>45997</v>
      </c>
      <c r="F256" s="27" t="str">
        <f ca="1" t="shared" si="10"/>
        <v>Vencido</v>
      </c>
      <c r="G256" s="26" t="s">
        <v>33</v>
      </c>
      <c r="H256" s="29">
        <v>15</v>
      </c>
      <c r="I256" s="26" t="s">
        <v>30</v>
      </c>
      <c r="J256" s="30" t="s">
        <v>29</v>
      </c>
      <c r="K256" s="29">
        <v>30</v>
      </c>
      <c r="L256" s="30" t="s">
        <v>29</v>
      </c>
      <c r="M256" s="31">
        <v>20</v>
      </c>
      <c r="N256" s="31">
        <v>15</v>
      </c>
      <c r="O256" s="29" t="s">
        <v>29</v>
      </c>
      <c r="P256" s="29">
        <f t="shared" si="11"/>
        <v>50</v>
      </c>
    </row>
    <row r="257" s="10" customFormat="1" ht="16.5" customHeight="1" spans="1:16">
      <c r="A257" s="26">
        <v>3486</v>
      </c>
      <c r="B257" s="26" t="s">
        <v>279</v>
      </c>
      <c r="C257" s="26" t="s">
        <v>32</v>
      </c>
      <c r="D257" s="27">
        <v>45968</v>
      </c>
      <c r="E257" s="28">
        <f t="shared" si="9"/>
        <v>45998</v>
      </c>
      <c r="F257" s="27" t="str">
        <f ca="1" t="shared" si="10"/>
        <v>Vencido</v>
      </c>
      <c r="G257" s="26" t="s">
        <v>29</v>
      </c>
      <c r="H257" s="29">
        <v>5</v>
      </c>
      <c r="I257" s="26" t="s">
        <v>30</v>
      </c>
      <c r="J257" s="30" t="s">
        <v>33</v>
      </c>
      <c r="K257" s="29"/>
      <c r="L257" s="30" t="s">
        <v>33</v>
      </c>
      <c r="M257" s="31"/>
      <c r="N257" s="31">
        <v>0</v>
      </c>
      <c r="O257" s="29" t="s">
        <v>33</v>
      </c>
      <c r="P257" s="29">
        <f t="shared" si="11"/>
        <v>5</v>
      </c>
    </row>
    <row r="258" ht="16.5" customHeight="1" spans="1:16">
      <c r="A258" s="26">
        <v>3487</v>
      </c>
      <c r="B258" s="26" t="s">
        <v>280</v>
      </c>
      <c r="C258" s="26" t="s">
        <v>28</v>
      </c>
      <c r="D258" s="27">
        <v>45969</v>
      </c>
      <c r="E258" s="28">
        <f t="shared" ref="E258:E316" si="12">IF(I258="Monthly",(D258+30),IF(I258="Annual",(D258+360),D258+120))</f>
        <v>46089</v>
      </c>
      <c r="F258" s="27" t="str">
        <f ca="1" t="shared" ref="F258:F316" si="13">IF(TODAY()&lt;E258,"A vencer","Vencido")</f>
        <v>Vencido</v>
      </c>
      <c r="G258" s="26" t="s">
        <v>33</v>
      </c>
      <c r="H258" s="29">
        <v>15</v>
      </c>
      <c r="I258" s="26" t="s">
        <v>37</v>
      </c>
      <c r="J258" s="30" t="s">
        <v>29</v>
      </c>
      <c r="K258" s="29">
        <v>30</v>
      </c>
      <c r="L258" s="30" t="s">
        <v>29</v>
      </c>
      <c r="M258" s="31">
        <v>20</v>
      </c>
      <c r="N258" s="31">
        <v>7</v>
      </c>
      <c r="O258" s="29" t="s">
        <v>29</v>
      </c>
      <c r="P258" s="29">
        <f t="shared" si="11"/>
        <v>58</v>
      </c>
    </row>
    <row r="259" s="10" customFormat="1" ht="16.5" customHeight="1" spans="1:16">
      <c r="A259" s="26">
        <v>3488</v>
      </c>
      <c r="B259" s="26" t="s">
        <v>281</v>
      </c>
      <c r="C259" s="26" t="s">
        <v>36</v>
      </c>
      <c r="D259" s="27">
        <v>45970</v>
      </c>
      <c r="E259" s="28">
        <f t="shared" si="12"/>
        <v>46330</v>
      </c>
      <c r="F259" s="27" t="str">
        <f ca="1" t="shared" si="13"/>
        <v>A vencer</v>
      </c>
      <c r="G259" s="26" t="s">
        <v>29</v>
      </c>
      <c r="H259" s="29">
        <v>10</v>
      </c>
      <c r="I259" s="26" t="s">
        <v>34</v>
      </c>
      <c r="J259" s="30" t="s">
        <v>33</v>
      </c>
      <c r="K259" s="29"/>
      <c r="L259" s="30" t="s">
        <v>29</v>
      </c>
      <c r="M259" s="31">
        <v>20</v>
      </c>
      <c r="N259" s="31">
        <v>10</v>
      </c>
      <c r="O259" s="29" t="s">
        <v>29</v>
      </c>
      <c r="P259" s="29">
        <f t="shared" ref="P259:P296" si="14">(H259+K259+M259)-N259</f>
        <v>20</v>
      </c>
    </row>
    <row r="260" s="10" customFormat="1" ht="16.5" customHeight="1" spans="1:16">
      <c r="A260" s="26">
        <v>3489</v>
      </c>
      <c r="B260" s="26" t="s">
        <v>282</v>
      </c>
      <c r="C260" s="26" t="s">
        <v>32</v>
      </c>
      <c r="D260" s="27">
        <v>45971</v>
      </c>
      <c r="E260" s="28">
        <f t="shared" si="12"/>
        <v>46091</v>
      </c>
      <c r="F260" s="27" t="str">
        <f ca="1" t="shared" si="13"/>
        <v>Vencido</v>
      </c>
      <c r="G260" s="26" t="s">
        <v>33</v>
      </c>
      <c r="H260" s="29">
        <v>5</v>
      </c>
      <c r="I260" s="26" t="s">
        <v>37</v>
      </c>
      <c r="J260" s="30" t="s">
        <v>33</v>
      </c>
      <c r="K260" s="29"/>
      <c r="L260" s="30" t="s">
        <v>33</v>
      </c>
      <c r="M260" s="31"/>
      <c r="N260" s="31">
        <v>1</v>
      </c>
      <c r="O260" s="29" t="s">
        <v>29</v>
      </c>
      <c r="P260" s="29">
        <f t="shared" si="14"/>
        <v>4</v>
      </c>
    </row>
    <row r="261" ht="16.5" customHeight="1" spans="1:16">
      <c r="A261" s="26">
        <v>3490</v>
      </c>
      <c r="B261" s="26" t="s">
        <v>283</v>
      </c>
      <c r="C261" s="26" t="s">
        <v>28</v>
      </c>
      <c r="D261" s="27">
        <v>45972</v>
      </c>
      <c r="E261" s="28">
        <f t="shared" si="12"/>
        <v>46002</v>
      </c>
      <c r="F261" s="27" t="str">
        <f ca="1" t="shared" si="13"/>
        <v>Vencido</v>
      </c>
      <c r="G261" s="26" t="s">
        <v>29</v>
      </c>
      <c r="H261" s="29">
        <v>15</v>
      </c>
      <c r="I261" s="26" t="s">
        <v>30</v>
      </c>
      <c r="J261" s="30" t="s">
        <v>29</v>
      </c>
      <c r="K261" s="29">
        <v>30</v>
      </c>
      <c r="L261" s="30" t="s">
        <v>29</v>
      </c>
      <c r="M261" s="31">
        <v>20</v>
      </c>
      <c r="N261" s="31">
        <v>15</v>
      </c>
      <c r="O261" s="29" t="s">
        <v>29</v>
      </c>
      <c r="P261" s="29">
        <f t="shared" si="14"/>
        <v>50</v>
      </c>
    </row>
    <row r="262" s="10" customFormat="1" ht="16.5" customHeight="1" spans="1:16">
      <c r="A262" s="26">
        <v>3491</v>
      </c>
      <c r="B262" s="26" t="s">
        <v>284</v>
      </c>
      <c r="C262" s="26" t="s">
        <v>36</v>
      </c>
      <c r="D262" s="27">
        <v>45973</v>
      </c>
      <c r="E262" s="28">
        <f t="shared" si="12"/>
        <v>46003</v>
      </c>
      <c r="F262" s="27" t="str">
        <f ca="1" t="shared" si="13"/>
        <v>Vencido</v>
      </c>
      <c r="G262" s="26" t="s">
        <v>33</v>
      </c>
      <c r="H262" s="29">
        <v>10</v>
      </c>
      <c r="I262" s="26" t="s">
        <v>30</v>
      </c>
      <c r="J262" s="30" t="s">
        <v>33</v>
      </c>
      <c r="K262" s="29"/>
      <c r="L262" s="30" t="s">
        <v>29</v>
      </c>
      <c r="M262" s="31">
        <v>20</v>
      </c>
      <c r="N262" s="31">
        <v>5</v>
      </c>
      <c r="O262" s="29" t="s">
        <v>29</v>
      </c>
      <c r="P262" s="29">
        <f t="shared" si="14"/>
        <v>25</v>
      </c>
    </row>
    <row r="263" s="10" customFormat="1" ht="16.5" customHeight="1" spans="1:16">
      <c r="A263" s="26">
        <v>3492</v>
      </c>
      <c r="B263" s="26" t="s">
        <v>285</v>
      </c>
      <c r="C263" s="26" t="s">
        <v>32</v>
      </c>
      <c r="D263" s="27">
        <v>45974</v>
      </c>
      <c r="E263" s="28">
        <f t="shared" si="12"/>
        <v>46334</v>
      </c>
      <c r="F263" s="27" t="str">
        <f ca="1" t="shared" si="13"/>
        <v>A vencer</v>
      </c>
      <c r="G263" s="26" t="s">
        <v>29</v>
      </c>
      <c r="H263" s="29">
        <v>5</v>
      </c>
      <c r="I263" s="26" t="s">
        <v>34</v>
      </c>
      <c r="J263" s="30" t="s">
        <v>33</v>
      </c>
      <c r="K263" s="29"/>
      <c r="L263" s="30" t="s">
        <v>33</v>
      </c>
      <c r="M263" s="31"/>
      <c r="N263" s="31">
        <v>0</v>
      </c>
      <c r="O263" s="29" t="s">
        <v>33</v>
      </c>
      <c r="P263" s="29">
        <f t="shared" si="14"/>
        <v>5</v>
      </c>
    </row>
    <row r="264" ht="16.5" customHeight="1" spans="1:16">
      <c r="A264" s="26">
        <v>3493</v>
      </c>
      <c r="B264" s="26" t="s">
        <v>286</v>
      </c>
      <c r="C264" s="26" t="s">
        <v>28</v>
      </c>
      <c r="D264" s="27">
        <v>45975</v>
      </c>
      <c r="E264" s="28">
        <f t="shared" si="12"/>
        <v>46095</v>
      </c>
      <c r="F264" s="27" t="str">
        <f ca="1" t="shared" si="13"/>
        <v>Vencido</v>
      </c>
      <c r="G264" s="26" t="s">
        <v>33</v>
      </c>
      <c r="H264" s="29">
        <v>15</v>
      </c>
      <c r="I264" s="26" t="s">
        <v>37</v>
      </c>
      <c r="J264" s="30" t="s">
        <v>29</v>
      </c>
      <c r="K264" s="29">
        <v>30</v>
      </c>
      <c r="L264" s="30" t="s">
        <v>29</v>
      </c>
      <c r="M264" s="31">
        <v>20</v>
      </c>
      <c r="N264" s="31">
        <v>20</v>
      </c>
      <c r="O264" s="29" t="s">
        <v>29</v>
      </c>
      <c r="P264" s="29">
        <f t="shared" si="14"/>
        <v>45</v>
      </c>
    </row>
    <row r="265" s="10" customFormat="1" ht="16.5" customHeight="1" spans="1:16">
      <c r="A265" s="26">
        <v>3494</v>
      </c>
      <c r="B265" s="26" t="s">
        <v>287</v>
      </c>
      <c r="C265" s="26" t="s">
        <v>36</v>
      </c>
      <c r="D265" s="27">
        <v>45976</v>
      </c>
      <c r="E265" s="28">
        <f t="shared" si="12"/>
        <v>46096</v>
      </c>
      <c r="F265" s="27" t="str">
        <f ca="1" t="shared" si="13"/>
        <v>Vencido</v>
      </c>
      <c r="G265" s="26" t="s">
        <v>29</v>
      </c>
      <c r="H265" s="29">
        <v>10</v>
      </c>
      <c r="I265" s="26" t="s">
        <v>37</v>
      </c>
      <c r="J265" s="30" t="s">
        <v>33</v>
      </c>
      <c r="K265" s="29"/>
      <c r="L265" s="30" t="s">
        <v>29</v>
      </c>
      <c r="M265" s="31">
        <v>20</v>
      </c>
      <c r="N265" s="31">
        <v>12</v>
      </c>
      <c r="O265" s="29" t="s">
        <v>29</v>
      </c>
      <c r="P265" s="29">
        <f t="shared" si="14"/>
        <v>18</v>
      </c>
    </row>
    <row r="266" s="10" customFormat="1" ht="16.5" customHeight="1" spans="1:16">
      <c r="A266" s="26">
        <v>3495</v>
      </c>
      <c r="B266" s="26" t="s">
        <v>288</v>
      </c>
      <c r="C266" s="26" t="s">
        <v>32</v>
      </c>
      <c r="D266" s="27">
        <v>45977</v>
      </c>
      <c r="E266" s="28">
        <f t="shared" si="12"/>
        <v>46007</v>
      </c>
      <c r="F266" s="27" t="str">
        <f ca="1" t="shared" si="13"/>
        <v>Vencido</v>
      </c>
      <c r="G266" s="26" t="s">
        <v>33</v>
      </c>
      <c r="H266" s="29">
        <v>5</v>
      </c>
      <c r="I266" s="26" t="s">
        <v>30</v>
      </c>
      <c r="J266" s="30" t="s">
        <v>33</v>
      </c>
      <c r="K266" s="29"/>
      <c r="L266" s="30" t="s">
        <v>33</v>
      </c>
      <c r="M266" s="31"/>
      <c r="N266" s="31">
        <v>2</v>
      </c>
      <c r="O266" s="29" t="s">
        <v>29</v>
      </c>
      <c r="P266" s="29">
        <f t="shared" si="14"/>
        <v>3</v>
      </c>
    </row>
    <row r="267" ht="16.5" customHeight="1" spans="1:16">
      <c r="A267" s="26">
        <v>3496</v>
      </c>
      <c r="B267" s="26" t="s">
        <v>289</v>
      </c>
      <c r="C267" s="26" t="s">
        <v>28</v>
      </c>
      <c r="D267" s="27">
        <v>45978</v>
      </c>
      <c r="E267" s="28">
        <f t="shared" si="12"/>
        <v>46338</v>
      </c>
      <c r="F267" s="27" t="str">
        <f ca="1" t="shared" si="13"/>
        <v>A vencer</v>
      </c>
      <c r="G267" s="26" t="s">
        <v>29</v>
      </c>
      <c r="H267" s="29">
        <v>15</v>
      </c>
      <c r="I267" s="26" t="s">
        <v>34</v>
      </c>
      <c r="J267" s="30" t="s">
        <v>29</v>
      </c>
      <c r="K267" s="29">
        <v>30</v>
      </c>
      <c r="L267" s="30" t="s">
        <v>29</v>
      </c>
      <c r="M267" s="31">
        <v>20</v>
      </c>
      <c r="N267" s="31">
        <v>5</v>
      </c>
      <c r="O267" s="29" t="s">
        <v>29</v>
      </c>
      <c r="P267" s="29">
        <f t="shared" si="14"/>
        <v>60</v>
      </c>
    </row>
    <row r="268" s="10" customFormat="1" ht="16.5" customHeight="1" spans="1:16">
      <c r="A268" s="26">
        <v>3497</v>
      </c>
      <c r="B268" s="26" t="s">
        <v>290</v>
      </c>
      <c r="C268" s="26" t="s">
        <v>36</v>
      </c>
      <c r="D268" s="27">
        <v>45979</v>
      </c>
      <c r="E268" s="28">
        <f t="shared" si="12"/>
        <v>46009</v>
      </c>
      <c r="F268" s="27" t="str">
        <f ca="1" t="shared" si="13"/>
        <v>Vencido</v>
      </c>
      <c r="G268" s="26" t="s">
        <v>33</v>
      </c>
      <c r="H268" s="29">
        <v>10</v>
      </c>
      <c r="I268" s="26" t="s">
        <v>30</v>
      </c>
      <c r="J268" s="30" t="s">
        <v>33</v>
      </c>
      <c r="K268" s="29"/>
      <c r="L268" s="30" t="s">
        <v>29</v>
      </c>
      <c r="M268" s="31">
        <v>20</v>
      </c>
      <c r="N268" s="31">
        <v>10</v>
      </c>
      <c r="O268" s="29" t="s">
        <v>29</v>
      </c>
      <c r="P268" s="29">
        <f t="shared" si="14"/>
        <v>20</v>
      </c>
    </row>
    <row r="269" s="10" customFormat="1" ht="16.5" customHeight="1" spans="1:16">
      <c r="A269" s="26">
        <v>3498</v>
      </c>
      <c r="B269" s="26" t="s">
        <v>291</v>
      </c>
      <c r="C269" s="26" t="s">
        <v>32</v>
      </c>
      <c r="D269" s="27">
        <v>45980</v>
      </c>
      <c r="E269" s="28">
        <f t="shared" si="12"/>
        <v>46100</v>
      </c>
      <c r="F269" s="27" t="str">
        <f ca="1" t="shared" si="13"/>
        <v>Vencido</v>
      </c>
      <c r="G269" s="26" t="s">
        <v>29</v>
      </c>
      <c r="H269" s="29">
        <v>5</v>
      </c>
      <c r="I269" s="26" t="s">
        <v>37</v>
      </c>
      <c r="J269" s="30" t="s">
        <v>33</v>
      </c>
      <c r="K269" s="29"/>
      <c r="L269" s="30" t="s">
        <v>33</v>
      </c>
      <c r="M269" s="31"/>
      <c r="N269" s="31">
        <v>0</v>
      </c>
      <c r="O269" s="29" t="s">
        <v>33</v>
      </c>
      <c r="P269" s="29">
        <f t="shared" si="14"/>
        <v>5</v>
      </c>
    </row>
    <row r="270" ht="16.5" customHeight="1" spans="1:16">
      <c r="A270" s="26">
        <v>3499</v>
      </c>
      <c r="B270" s="26" t="s">
        <v>292</v>
      </c>
      <c r="C270" s="26" t="s">
        <v>28</v>
      </c>
      <c r="D270" s="27">
        <v>45981</v>
      </c>
      <c r="E270" s="28">
        <f t="shared" si="12"/>
        <v>46011</v>
      </c>
      <c r="F270" s="27" t="str">
        <f ca="1" t="shared" si="13"/>
        <v>Vencido</v>
      </c>
      <c r="G270" s="26" t="s">
        <v>33</v>
      </c>
      <c r="H270" s="29">
        <v>15</v>
      </c>
      <c r="I270" s="26" t="s">
        <v>30</v>
      </c>
      <c r="J270" s="30" t="s">
        <v>29</v>
      </c>
      <c r="K270" s="29">
        <v>30</v>
      </c>
      <c r="L270" s="30" t="s">
        <v>29</v>
      </c>
      <c r="M270" s="31">
        <v>20</v>
      </c>
      <c r="N270" s="31">
        <v>3</v>
      </c>
      <c r="O270" s="29" t="s">
        <v>29</v>
      </c>
      <c r="P270" s="29">
        <f t="shared" si="14"/>
        <v>62</v>
      </c>
    </row>
    <row r="271" s="10" customFormat="1" ht="16.5" customHeight="1" spans="1:16">
      <c r="A271" s="26">
        <v>3500</v>
      </c>
      <c r="B271" s="26" t="s">
        <v>293</v>
      </c>
      <c r="C271" s="26" t="s">
        <v>36</v>
      </c>
      <c r="D271" s="27">
        <v>45982</v>
      </c>
      <c r="E271" s="28">
        <f t="shared" si="12"/>
        <v>46342</v>
      </c>
      <c r="F271" s="27" t="str">
        <f ca="1" t="shared" si="13"/>
        <v>A vencer</v>
      </c>
      <c r="G271" s="26" t="s">
        <v>29</v>
      </c>
      <c r="H271" s="29">
        <v>10</v>
      </c>
      <c r="I271" s="26" t="s">
        <v>34</v>
      </c>
      <c r="J271" s="30" t="s">
        <v>33</v>
      </c>
      <c r="K271" s="29"/>
      <c r="L271" s="30" t="s">
        <v>29</v>
      </c>
      <c r="M271" s="31">
        <v>20</v>
      </c>
      <c r="N271" s="31">
        <v>15</v>
      </c>
      <c r="O271" s="29" t="s">
        <v>29</v>
      </c>
      <c r="P271" s="29">
        <f t="shared" si="14"/>
        <v>15</v>
      </c>
    </row>
    <row r="272" s="10" customFormat="1" ht="16.5" customHeight="1" spans="1:16">
      <c r="A272" s="26">
        <v>3501</v>
      </c>
      <c r="B272" s="26" t="s">
        <v>294</v>
      </c>
      <c r="C272" s="26" t="s">
        <v>32</v>
      </c>
      <c r="D272" s="27">
        <v>45983</v>
      </c>
      <c r="E272" s="28">
        <f t="shared" si="12"/>
        <v>46013</v>
      </c>
      <c r="F272" s="27" t="str">
        <f ca="1" t="shared" si="13"/>
        <v>Vencido</v>
      </c>
      <c r="G272" s="26" t="s">
        <v>33</v>
      </c>
      <c r="H272" s="29">
        <v>5</v>
      </c>
      <c r="I272" s="26" t="s">
        <v>30</v>
      </c>
      <c r="J272" s="30" t="s">
        <v>33</v>
      </c>
      <c r="K272" s="29"/>
      <c r="L272" s="30" t="s">
        <v>33</v>
      </c>
      <c r="M272" s="31"/>
      <c r="N272" s="31">
        <v>1</v>
      </c>
      <c r="O272" s="29" t="s">
        <v>29</v>
      </c>
      <c r="P272" s="29">
        <f t="shared" si="14"/>
        <v>4</v>
      </c>
    </row>
    <row r="273" ht="16.5" customHeight="1" spans="1:16">
      <c r="A273" s="26">
        <v>3502</v>
      </c>
      <c r="B273" s="26" t="s">
        <v>295</v>
      </c>
      <c r="C273" s="26" t="s">
        <v>28</v>
      </c>
      <c r="D273" s="27">
        <v>46349</v>
      </c>
      <c r="E273" s="28">
        <f t="shared" si="12"/>
        <v>46469</v>
      </c>
      <c r="F273" s="27" t="str">
        <f ca="1" t="shared" si="13"/>
        <v>A vencer</v>
      </c>
      <c r="G273" s="26" t="s">
        <v>29</v>
      </c>
      <c r="H273" s="29">
        <v>15</v>
      </c>
      <c r="I273" s="26" t="s">
        <v>37</v>
      </c>
      <c r="J273" s="30" t="s">
        <v>29</v>
      </c>
      <c r="K273" s="29">
        <v>30</v>
      </c>
      <c r="L273" s="30" t="s">
        <v>29</v>
      </c>
      <c r="M273" s="31">
        <v>20</v>
      </c>
      <c r="N273" s="31">
        <v>7</v>
      </c>
      <c r="O273" s="29" t="s">
        <v>29</v>
      </c>
      <c r="P273" s="29">
        <f t="shared" si="14"/>
        <v>58</v>
      </c>
    </row>
    <row r="274" s="10" customFormat="1" ht="16.5" customHeight="1" spans="1:16">
      <c r="A274" s="26">
        <v>3503</v>
      </c>
      <c r="B274" s="26" t="s">
        <v>154</v>
      </c>
      <c r="C274" s="26" t="s">
        <v>36</v>
      </c>
      <c r="D274" s="27">
        <v>45985</v>
      </c>
      <c r="E274" s="28">
        <f t="shared" si="12"/>
        <v>46015</v>
      </c>
      <c r="F274" s="27" t="str">
        <f ca="1" t="shared" si="13"/>
        <v>Vencido</v>
      </c>
      <c r="G274" s="26" t="s">
        <v>33</v>
      </c>
      <c r="H274" s="29">
        <v>10</v>
      </c>
      <c r="I274" s="26" t="s">
        <v>30</v>
      </c>
      <c r="J274" s="30" t="s">
        <v>33</v>
      </c>
      <c r="K274" s="29"/>
      <c r="L274" s="30" t="s">
        <v>29</v>
      </c>
      <c r="M274" s="31">
        <v>20</v>
      </c>
      <c r="N274" s="31">
        <v>10</v>
      </c>
      <c r="O274" s="29" t="s">
        <v>29</v>
      </c>
      <c r="P274" s="29">
        <f t="shared" si="14"/>
        <v>20</v>
      </c>
    </row>
    <row r="275" s="10" customFormat="1" ht="16.5" customHeight="1" spans="1:16">
      <c r="A275" s="26">
        <v>3504</v>
      </c>
      <c r="B275" s="26" t="s">
        <v>296</v>
      </c>
      <c r="C275" s="26" t="s">
        <v>32</v>
      </c>
      <c r="D275" s="27">
        <v>45986</v>
      </c>
      <c r="E275" s="28">
        <f t="shared" si="12"/>
        <v>46346</v>
      </c>
      <c r="F275" s="27" t="str">
        <f ca="1" t="shared" si="13"/>
        <v>A vencer</v>
      </c>
      <c r="G275" s="26" t="s">
        <v>29</v>
      </c>
      <c r="H275" s="29">
        <v>5</v>
      </c>
      <c r="I275" s="26" t="s">
        <v>34</v>
      </c>
      <c r="J275" s="30" t="s">
        <v>33</v>
      </c>
      <c r="K275" s="29"/>
      <c r="L275" s="30" t="s">
        <v>33</v>
      </c>
      <c r="M275" s="31"/>
      <c r="N275" s="31">
        <v>0</v>
      </c>
      <c r="O275" s="29" t="s">
        <v>33</v>
      </c>
      <c r="P275" s="29">
        <f t="shared" si="14"/>
        <v>5</v>
      </c>
    </row>
    <row r="276" ht="16.5" customHeight="1" spans="1:16">
      <c r="A276" s="26">
        <v>3505</v>
      </c>
      <c r="B276" s="26" t="s">
        <v>297</v>
      </c>
      <c r="C276" s="26" t="s">
        <v>28</v>
      </c>
      <c r="D276" s="27">
        <v>45987</v>
      </c>
      <c r="E276" s="28">
        <f t="shared" si="12"/>
        <v>46017</v>
      </c>
      <c r="F276" s="27" t="str">
        <f ca="1" t="shared" si="13"/>
        <v>Vencido</v>
      </c>
      <c r="G276" s="26" t="s">
        <v>33</v>
      </c>
      <c r="H276" s="29">
        <v>15</v>
      </c>
      <c r="I276" s="26" t="s">
        <v>30</v>
      </c>
      <c r="J276" s="30" t="s">
        <v>29</v>
      </c>
      <c r="K276" s="29">
        <v>30</v>
      </c>
      <c r="L276" s="30" t="s">
        <v>29</v>
      </c>
      <c r="M276" s="31">
        <v>20</v>
      </c>
      <c r="N276" s="31">
        <v>20</v>
      </c>
      <c r="O276" s="29" t="s">
        <v>29</v>
      </c>
      <c r="P276" s="29">
        <f t="shared" si="14"/>
        <v>45</v>
      </c>
    </row>
    <row r="277" s="10" customFormat="1" ht="16.5" customHeight="1" spans="1:16">
      <c r="A277" s="26">
        <v>3506</v>
      </c>
      <c r="B277" s="26" t="s">
        <v>298</v>
      </c>
      <c r="C277" s="26" t="s">
        <v>36</v>
      </c>
      <c r="D277" s="27">
        <v>45988</v>
      </c>
      <c r="E277" s="28">
        <f t="shared" si="12"/>
        <v>46108</v>
      </c>
      <c r="F277" s="27" t="str">
        <f ca="1" t="shared" si="13"/>
        <v>Vencido</v>
      </c>
      <c r="G277" s="26" t="s">
        <v>29</v>
      </c>
      <c r="H277" s="29">
        <v>10</v>
      </c>
      <c r="I277" s="26" t="s">
        <v>37</v>
      </c>
      <c r="J277" s="30" t="s">
        <v>33</v>
      </c>
      <c r="K277" s="29"/>
      <c r="L277" s="30" t="s">
        <v>29</v>
      </c>
      <c r="M277" s="31">
        <v>20</v>
      </c>
      <c r="N277" s="31">
        <v>15</v>
      </c>
      <c r="O277" s="29" t="s">
        <v>29</v>
      </c>
      <c r="P277" s="29">
        <f t="shared" si="14"/>
        <v>15</v>
      </c>
    </row>
    <row r="278" s="10" customFormat="1" ht="16.5" customHeight="1" spans="1:16">
      <c r="A278" s="26">
        <v>3507</v>
      </c>
      <c r="B278" s="26" t="s">
        <v>299</v>
      </c>
      <c r="C278" s="26" t="s">
        <v>32</v>
      </c>
      <c r="D278" s="27">
        <v>45989</v>
      </c>
      <c r="E278" s="28">
        <f t="shared" si="12"/>
        <v>46019</v>
      </c>
      <c r="F278" s="27" t="str">
        <f ca="1" t="shared" si="13"/>
        <v>Vencido</v>
      </c>
      <c r="G278" s="26" t="s">
        <v>33</v>
      </c>
      <c r="H278" s="29">
        <v>5</v>
      </c>
      <c r="I278" s="26" t="s">
        <v>30</v>
      </c>
      <c r="J278" s="30" t="s">
        <v>33</v>
      </c>
      <c r="K278" s="29"/>
      <c r="L278" s="30" t="s">
        <v>33</v>
      </c>
      <c r="M278" s="31"/>
      <c r="N278" s="31">
        <v>1</v>
      </c>
      <c r="O278" s="29" t="s">
        <v>29</v>
      </c>
      <c r="P278" s="29">
        <f t="shared" si="14"/>
        <v>4</v>
      </c>
    </row>
    <row r="279" ht="16.5" customHeight="1" spans="1:16">
      <c r="A279" s="26">
        <v>3508</v>
      </c>
      <c r="B279" s="26" t="s">
        <v>300</v>
      </c>
      <c r="C279" s="26" t="s">
        <v>28</v>
      </c>
      <c r="D279" s="27">
        <v>45990</v>
      </c>
      <c r="E279" s="28">
        <f t="shared" si="12"/>
        <v>46350</v>
      </c>
      <c r="F279" s="27" t="str">
        <f ca="1" t="shared" si="13"/>
        <v>A vencer</v>
      </c>
      <c r="G279" s="26" t="s">
        <v>29</v>
      </c>
      <c r="H279" s="29">
        <v>15</v>
      </c>
      <c r="I279" s="26" t="s">
        <v>34</v>
      </c>
      <c r="J279" s="30" t="s">
        <v>29</v>
      </c>
      <c r="K279" s="29">
        <v>30</v>
      </c>
      <c r="L279" s="30" t="s">
        <v>29</v>
      </c>
      <c r="M279" s="31">
        <v>20</v>
      </c>
      <c r="N279" s="31">
        <v>3</v>
      </c>
      <c r="O279" s="29" t="s">
        <v>29</v>
      </c>
      <c r="P279" s="29">
        <f t="shared" si="14"/>
        <v>62</v>
      </c>
    </row>
    <row r="280" s="10" customFormat="1" ht="16.5" customHeight="1" spans="1:16">
      <c r="A280" s="26">
        <v>3509</v>
      </c>
      <c r="B280" s="26" t="s">
        <v>301</v>
      </c>
      <c r="C280" s="26" t="s">
        <v>36</v>
      </c>
      <c r="D280" s="27">
        <v>46356</v>
      </c>
      <c r="E280" s="28">
        <f t="shared" si="12"/>
        <v>46386</v>
      </c>
      <c r="F280" s="27" t="str">
        <f ca="1" t="shared" si="13"/>
        <v>A vencer</v>
      </c>
      <c r="G280" s="26" t="s">
        <v>33</v>
      </c>
      <c r="H280" s="29">
        <v>10</v>
      </c>
      <c r="I280" s="26" t="s">
        <v>30</v>
      </c>
      <c r="J280" s="30" t="s">
        <v>33</v>
      </c>
      <c r="K280" s="29"/>
      <c r="L280" s="30" t="s">
        <v>29</v>
      </c>
      <c r="M280" s="31">
        <v>20</v>
      </c>
      <c r="N280" s="31">
        <v>10</v>
      </c>
      <c r="O280" s="29" t="s">
        <v>29</v>
      </c>
      <c r="P280" s="29">
        <f t="shared" si="14"/>
        <v>20</v>
      </c>
    </row>
    <row r="281" s="10" customFormat="1" ht="16.5" customHeight="1" spans="1:16">
      <c r="A281" s="26">
        <v>3510</v>
      </c>
      <c r="B281" s="26" t="s">
        <v>302</v>
      </c>
      <c r="C281" s="26" t="s">
        <v>32</v>
      </c>
      <c r="D281" s="27">
        <v>45992</v>
      </c>
      <c r="E281" s="28">
        <f t="shared" si="12"/>
        <v>46112</v>
      </c>
      <c r="F281" s="27" t="str">
        <f ca="1" t="shared" si="13"/>
        <v>Vencido</v>
      </c>
      <c r="G281" s="26" t="s">
        <v>29</v>
      </c>
      <c r="H281" s="29">
        <v>5</v>
      </c>
      <c r="I281" s="26" t="s">
        <v>37</v>
      </c>
      <c r="J281" s="30" t="s">
        <v>33</v>
      </c>
      <c r="K281" s="29"/>
      <c r="L281" s="30" t="s">
        <v>33</v>
      </c>
      <c r="M281" s="31"/>
      <c r="N281" s="31">
        <v>0</v>
      </c>
      <c r="O281" s="29" t="s">
        <v>33</v>
      </c>
      <c r="P281" s="29">
        <f t="shared" si="14"/>
        <v>5</v>
      </c>
    </row>
    <row r="282" ht="16.5" customHeight="1" spans="1:16">
      <c r="A282" s="26">
        <v>3511</v>
      </c>
      <c r="B282" s="26" t="s">
        <v>303</v>
      </c>
      <c r="C282" s="26" t="s">
        <v>28</v>
      </c>
      <c r="D282" s="27">
        <v>45993</v>
      </c>
      <c r="E282" s="28">
        <f t="shared" si="12"/>
        <v>46023</v>
      </c>
      <c r="F282" s="27" t="str">
        <f ca="1" t="shared" si="13"/>
        <v>Vencido</v>
      </c>
      <c r="G282" s="26" t="s">
        <v>33</v>
      </c>
      <c r="H282" s="29">
        <v>15</v>
      </c>
      <c r="I282" s="26" t="s">
        <v>30</v>
      </c>
      <c r="J282" s="30" t="s">
        <v>29</v>
      </c>
      <c r="K282" s="29">
        <v>30</v>
      </c>
      <c r="L282" s="30" t="s">
        <v>29</v>
      </c>
      <c r="M282" s="31">
        <v>20</v>
      </c>
      <c r="N282" s="31">
        <v>15</v>
      </c>
      <c r="O282" s="29" t="s">
        <v>29</v>
      </c>
      <c r="P282" s="29">
        <f t="shared" si="14"/>
        <v>50</v>
      </c>
    </row>
    <row r="283" s="10" customFormat="1" ht="16.5" customHeight="1" spans="1:16">
      <c r="A283" s="26">
        <v>3512</v>
      </c>
      <c r="B283" s="26" t="s">
        <v>304</v>
      </c>
      <c r="C283" s="26" t="s">
        <v>36</v>
      </c>
      <c r="D283" s="27">
        <v>45994</v>
      </c>
      <c r="E283" s="28">
        <f t="shared" si="12"/>
        <v>46354</v>
      </c>
      <c r="F283" s="27" t="str">
        <f ca="1" t="shared" si="13"/>
        <v>A vencer</v>
      </c>
      <c r="G283" s="26" t="s">
        <v>29</v>
      </c>
      <c r="H283" s="29">
        <v>10</v>
      </c>
      <c r="I283" s="26" t="s">
        <v>34</v>
      </c>
      <c r="J283" s="30" t="s">
        <v>33</v>
      </c>
      <c r="K283" s="29"/>
      <c r="L283" s="30" t="s">
        <v>29</v>
      </c>
      <c r="M283" s="31">
        <v>20</v>
      </c>
      <c r="N283" s="31">
        <v>15</v>
      </c>
      <c r="O283" s="29" t="s">
        <v>29</v>
      </c>
      <c r="P283" s="29">
        <f t="shared" si="14"/>
        <v>15</v>
      </c>
    </row>
    <row r="284" s="10" customFormat="1" ht="16.5" customHeight="1" spans="1:16">
      <c r="A284" s="26">
        <v>3513</v>
      </c>
      <c r="B284" s="26" t="s">
        <v>305</v>
      </c>
      <c r="C284" s="26" t="s">
        <v>32</v>
      </c>
      <c r="D284" s="27">
        <v>45995</v>
      </c>
      <c r="E284" s="28">
        <f t="shared" si="12"/>
        <v>46025</v>
      </c>
      <c r="F284" s="27" t="str">
        <f ca="1" t="shared" si="13"/>
        <v>Vencido</v>
      </c>
      <c r="G284" s="26" t="s">
        <v>33</v>
      </c>
      <c r="H284" s="29">
        <v>5</v>
      </c>
      <c r="I284" s="26" t="s">
        <v>30</v>
      </c>
      <c r="J284" s="30" t="s">
        <v>33</v>
      </c>
      <c r="K284" s="29"/>
      <c r="L284" s="30" t="s">
        <v>33</v>
      </c>
      <c r="M284" s="31"/>
      <c r="N284" s="31">
        <v>1</v>
      </c>
      <c r="O284" s="29" t="s">
        <v>29</v>
      </c>
      <c r="P284" s="29">
        <f t="shared" si="14"/>
        <v>4</v>
      </c>
    </row>
    <row r="285" ht="16.5" customHeight="1" spans="1:16">
      <c r="A285" s="26">
        <v>3514</v>
      </c>
      <c r="B285" s="26" t="s">
        <v>306</v>
      </c>
      <c r="C285" s="26" t="s">
        <v>28</v>
      </c>
      <c r="D285" s="27">
        <v>45996</v>
      </c>
      <c r="E285" s="28">
        <f t="shared" si="12"/>
        <v>46116</v>
      </c>
      <c r="F285" s="27" t="str">
        <f ca="1" t="shared" si="13"/>
        <v>Vencido</v>
      </c>
      <c r="G285" s="26" t="s">
        <v>29</v>
      </c>
      <c r="H285" s="29">
        <v>15</v>
      </c>
      <c r="I285" s="26" t="s">
        <v>37</v>
      </c>
      <c r="J285" s="30" t="s">
        <v>29</v>
      </c>
      <c r="K285" s="29">
        <v>30</v>
      </c>
      <c r="L285" s="30" t="s">
        <v>29</v>
      </c>
      <c r="M285" s="31">
        <v>20</v>
      </c>
      <c r="N285" s="31">
        <v>7</v>
      </c>
      <c r="O285" s="29" t="s">
        <v>29</v>
      </c>
      <c r="P285" s="29">
        <f t="shared" si="14"/>
        <v>58</v>
      </c>
    </row>
    <row r="286" s="10" customFormat="1" ht="16.5" customHeight="1" spans="1:16">
      <c r="A286" s="26">
        <v>3515</v>
      </c>
      <c r="B286" s="26" t="s">
        <v>165</v>
      </c>
      <c r="C286" s="26" t="s">
        <v>36</v>
      </c>
      <c r="D286" s="27">
        <v>45997</v>
      </c>
      <c r="E286" s="28">
        <f t="shared" si="12"/>
        <v>46027</v>
      </c>
      <c r="F286" s="27" t="str">
        <f ca="1" t="shared" si="13"/>
        <v>Vencido</v>
      </c>
      <c r="G286" s="26" t="s">
        <v>33</v>
      </c>
      <c r="H286" s="29">
        <v>10</v>
      </c>
      <c r="I286" s="26" t="s">
        <v>30</v>
      </c>
      <c r="J286" s="30" t="s">
        <v>33</v>
      </c>
      <c r="K286" s="29"/>
      <c r="L286" s="30" t="s">
        <v>29</v>
      </c>
      <c r="M286" s="31">
        <v>20</v>
      </c>
      <c r="N286" s="31">
        <v>10</v>
      </c>
      <c r="O286" s="29" t="s">
        <v>29</v>
      </c>
      <c r="P286" s="29">
        <f t="shared" si="14"/>
        <v>20</v>
      </c>
    </row>
    <row r="287" s="10" customFormat="1" ht="16.5" customHeight="1" spans="1:16">
      <c r="A287" s="26">
        <v>3516</v>
      </c>
      <c r="B287" s="26" t="s">
        <v>166</v>
      </c>
      <c r="C287" s="26" t="s">
        <v>32</v>
      </c>
      <c r="D287" s="27">
        <v>45998</v>
      </c>
      <c r="E287" s="28">
        <f t="shared" si="12"/>
        <v>46358</v>
      </c>
      <c r="F287" s="27" t="str">
        <f ca="1" t="shared" si="13"/>
        <v>A vencer</v>
      </c>
      <c r="G287" s="26" t="s">
        <v>29</v>
      </c>
      <c r="H287" s="29">
        <v>5</v>
      </c>
      <c r="I287" s="26" t="s">
        <v>34</v>
      </c>
      <c r="J287" s="30" t="s">
        <v>33</v>
      </c>
      <c r="K287" s="29"/>
      <c r="L287" s="30" t="s">
        <v>33</v>
      </c>
      <c r="M287" s="31"/>
      <c r="N287" s="31">
        <v>0</v>
      </c>
      <c r="O287" s="29" t="s">
        <v>33</v>
      </c>
      <c r="P287" s="29">
        <f t="shared" si="14"/>
        <v>5</v>
      </c>
    </row>
    <row r="288" ht="16.5" customHeight="1" spans="1:16">
      <c r="A288" s="26">
        <v>3517</v>
      </c>
      <c r="B288" s="26" t="s">
        <v>216</v>
      </c>
      <c r="C288" s="26" t="s">
        <v>28</v>
      </c>
      <c r="D288" s="27">
        <v>46364</v>
      </c>
      <c r="E288" s="28">
        <f t="shared" si="12"/>
        <v>46394</v>
      </c>
      <c r="F288" s="27" t="str">
        <f ca="1" t="shared" si="13"/>
        <v>A vencer</v>
      </c>
      <c r="G288" s="26" t="s">
        <v>33</v>
      </c>
      <c r="H288" s="29">
        <v>15</v>
      </c>
      <c r="I288" s="26" t="s">
        <v>30</v>
      </c>
      <c r="J288" s="30" t="s">
        <v>29</v>
      </c>
      <c r="K288" s="29">
        <v>30</v>
      </c>
      <c r="L288" s="30" t="s">
        <v>29</v>
      </c>
      <c r="M288" s="31">
        <v>20</v>
      </c>
      <c r="N288" s="31">
        <v>20</v>
      </c>
      <c r="O288" s="29" t="s">
        <v>29</v>
      </c>
      <c r="P288" s="29">
        <f t="shared" si="14"/>
        <v>45</v>
      </c>
    </row>
    <row r="289" s="10" customFormat="1" ht="16.5" customHeight="1" spans="1:16">
      <c r="A289" s="26">
        <v>3518</v>
      </c>
      <c r="B289" s="26" t="s">
        <v>307</v>
      </c>
      <c r="C289" s="26" t="s">
        <v>36</v>
      </c>
      <c r="D289" s="27">
        <v>46000</v>
      </c>
      <c r="E289" s="28">
        <f t="shared" si="12"/>
        <v>46120</v>
      </c>
      <c r="F289" s="27" t="str">
        <f ca="1" t="shared" si="13"/>
        <v>Vencido</v>
      </c>
      <c r="G289" s="26" t="s">
        <v>29</v>
      </c>
      <c r="H289" s="29">
        <v>10</v>
      </c>
      <c r="I289" s="26" t="s">
        <v>37</v>
      </c>
      <c r="J289" s="30" t="s">
        <v>33</v>
      </c>
      <c r="K289" s="29"/>
      <c r="L289" s="30" t="s">
        <v>29</v>
      </c>
      <c r="M289" s="31">
        <v>20</v>
      </c>
      <c r="N289" s="31">
        <v>12</v>
      </c>
      <c r="O289" s="29" t="s">
        <v>29</v>
      </c>
      <c r="P289" s="29">
        <f t="shared" si="14"/>
        <v>18</v>
      </c>
    </row>
    <row r="290" s="10" customFormat="1" ht="16.5" customHeight="1" spans="1:16">
      <c r="A290" s="26">
        <v>3519</v>
      </c>
      <c r="B290" s="26" t="s">
        <v>308</v>
      </c>
      <c r="C290" s="26" t="s">
        <v>32</v>
      </c>
      <c r="D290" s="27">
        <v>46001</v>
      </c>
      <c r="E290" s="28">
        <f t="shared" si="12"/>
        <v>46031</v>
      </c>
      <c r="F290" s="27" t="str">
        <f ca="1" t="shared" si="13"/>
        <v>Vencido</v>
      </c>
      <c r="G290" s="26" t="s">
        <v>33</v>
      </c>
      <c r="H290" s="29">
        <v>5</v>
      </c>
      <c r="I290" s="26" t="s">
        <v>30</v>
      </c>
      <c r="J290" s="30" t="s">
        <v>33</v>
      </c>
      <c r="K290" s="29"/>
      <c r="L290" s="30" t="s">
        <v>33</v>
      </c>
      <c r="M290" s="31"/>
      <c r="N290" s="31">
        <v>2</v>
      </c>
      <c r="O290" s="29" t="s">
        <v>29</v>
      </c>
      <c r="P290" s="29">
        <f t="shared" si="14"/>
        <v>3</v>
      </c>
    </row>
    <row r="291" ht="16.5" customHeight="1" spans="1:16">
      <c r="A291" s="26">
        <v>3520</v>
      </c>
      <c r="B291" s="26" t="s">
        <v>309</v>
      </c>
      <c r="C291" s="26" t="s">
        <v>28</v>
      </c>
      <c r="D291" s="27">
        <v>46002</v>
      </c>
      <c r="E291" s="28">
        <f t="shared" si="12"/>
        <v>46362</v>
      </c>
      <c r="F291" s="27" t="str">
        <f ca="1" t="shared" si="13"/>
        <v>A vencer</v>
      </c>
      <c r="G291" s="26" t="s">
        <v>29</v>
      </c>
      <c r="H291" s="29">
        <v>15</v>
      </c>
      <c r="I291" s="26" t="s">
        <v>34</v>
      </c>
      <c r="J291" s="30" t="s">
        <v>29</v>
      </c>
      <c r="K291" s="29">
        <v>30</v>
      </c>
      <c r="L291" s="30" t="s">
        <v>29</v>
      </c>
      <c r="M291" s="31">
        <v>20</v>
      </c>
      <c r="N291" s="31">
        <v>5</v>
      </c>
      <c r="O291" s="29" t="s">
        <v>29</v>
      </c>
      <c r="P291" s="29">
        <f t="shared" si="14"/>
        <v>60</v>
      </c>
    </row>
    <row r="292" s="10" customFormat="1" ht="16.5" customHeight="1" spans="1:16">
      <c r="A292" s="26">
        <v>3521</v>
      </c>
      <c r="B292" s="26" t="s">
        <v>310</v>
      </c>
      <c r="C292" s="26" t="s">
        <v>36</v>
      </c>
      <c r="D292" s="27">
        <v>46368</v>
      </c>
      <c r="E292" s="28">
        <f t="shared" si="12"/>
        <v>46398</v>
      </c>
      <c r="F292" s="27" t="str">
        <f ca="1" t="shared" si="13"/>
        <v>A vencer</v>
      </c>
      <c r="G292" s="26" t="s">
        <v>33</v>
      </c>
      <c r="H292" s="29">
        <v>10</v>
      </c>
      <c r="I292" s="26" t="s">
        <v>30</v>
      </c>
      <c r="J292" s="30" t="s">
        <v>33</v>
      </c>
      <c r="K292" s="29"/>
      <c r="L292" s="30" t="s">
        <v>29</v>
      </c>
      <c r="M292" s="31">
        <v>20</v>
      </c>
      <c r="N292" s="31">
        <v>10</v>
      </c>
      <c r="O292" s="29" t="s">
        <v>29</v>
      </c>
      <c r="P292" s="29">
        <f t="shared" si="14"/>
        <v>20</v>
      </c>
    </row>
    <row r="293" s="10" customFormat="1" ht="16.5" customHeight="1" spans="1:16">
      <c r="A293" s="26">
        <v>3522</v>
      </c>
      <c r="B293" s="26" t="s">
        <v>311</v>
      </c>
      <c r="C293" s="26" t="s">
        <v>32</v>
      </c>
      <c r="D293" s="27">
        <v>46369</v>
      </c>
      <c r="E293" s="28">
        <f t="shared" si="12"/>
        <v>46489</v>
      </c>
      <c r="F293" s="27" t="str">
        <f ca="1" t="shared" si="13"/>
        <v>A vencer</v>
      </c>
      <c r="G293" s="26" t="s">
        <v>29</v>
      </c>
      <c r="H293" s="29">
        <v>5</v>
      </c>
      <c r="I293" s="26" t="s">
        <v>37</v>
      </c>
      <c r="J293" s="30" t="s">
        <v>33</v>
      </c>
      <c r="K293" s="29"/>
      <c r="L293" s="30" t="s">
        <v>33</v>
      </c>
      <c r="M293" s="31"/>
      <c r="N293" s="31">
        <v>0</v>
      </c>
      <c r="O293" s="29" t="s">
        <v>33</v>
      </c>
      <c r="P293" s="29">
        <f t="shared" si="14"/>
        <v>5</v>
      </c>
    </row>
    <row r="294" ht="16.5" customHeight="1" spans="1:16">
      <c r="A294" s="26">
        <v>3523</v>
      </c>
      <c r="B294" s="26" t="s">
        <v>312</v>
      </c>
      <c r="C294" s="26" t="s">
        <v>28</v>
      </c>
      <c r="D294" s="27">
        <v>46005</v>
      </c>
      <c r="E294" s="28">
        <f t="shared" si="12"/>
        <v>46035</v>
      </c>
      <c r="F294" s="27" t="str">
        <f ca="1" t="shared" si="13"/>
        <v>Vencido</v>
      </c>
      <c r="G294" s="26" t="s">
        <v>33</v>
      </c>
      <c r="H294" s="29">
        <v>15</v>
      </c>
      <c r="I294" s="26" t="s">
        <v>30</v>
      </c>
      <c r="J294" s="30" t="s">
        <v>29</v>
      </c>
      <c r="K294" s="29">
        <v>30</v>
      </c>
      <c r="L294" s="30" t="s">
        <v>29</v>
      </c>
      <c r="M294" s="31">
        <v>20</v>
      </c>
      <c r="N294" s="31">
        <v>3</v>
      </c>
      <c r="O294" s="29" t="s">
        <v>29</v>
      </c>
      <c r="P294" s="29">
        <f t="shared" si="14"/>
        <v>62</v>
      </c>
    </row>
    <row r="295" s="10" customFormat="1" ht="16.5" customHeight="1" spans="1:16">
      <c r="A295" s="26">
        <v>3524</v>
      </c>
      <c r="B295" s="26" t="s">
        <v>313</v>
      </c>
      <c r="C295" s="26" t="s">
        <v>36</v>
      </c>
      <c r="D295" s="27">
        <v>46006</v>
      </c>
      <c r="E295" s="28">
        <f t="shared" si="12"/>
        <v>46366</v>
      </c>
      <c r="F295" s="27" t="str">
        <f ca="1" t="shared" si="13"/>
        <v>A vencer</v>
      </c>
      <c r="G295" s="26" t="s">
        <v>29</v>
      </c>
      <c r="H295" s="29">
        <v>10</v>
      </c>
      <c r="I295" s="26" t="s">
        <v>34</v>
      </c>
      <c r="J295" s="30" t="s">
        <v>33</v>
      </c>
      <c r="K295" s="29"/>
      <c r="L295" s="30" t="s">
        <v>29</v>
      </c>
      <c r="M295" s="31">
        <v>20</v>
      </c>
      <c r="N295" s="31">
        <v>15</v>
      </c>
      <c r="O295" s="29" t="s">
        <v>29</v>
      </c>
      <c r="P295" s="29">
        <f t="shared" si="14"/>
        <v>15</v>
      </c>
    </row>
    <row r="296" s="10" customFormat="1" ht="16.5" customHeight="1" spans="1:16">
      <c r="A296" s="26">
        <v>3525</v>
      </c>
      <c r="B296" s="26" t="s">
        <v>314</v>
      </c>
      <c r="C296" s="26" t="s">
        <v>32</v>
      </c>
      <c r="D296" s="27">
        <v>46372</v>
      </c>
      <c r="E296" s="28">
        <f t="shared" si="12"/>
        <v>46402</v>
      </c>
      <c r="F296" s="27" t="str">
        <f ca="1" t="shared" si="13"/>
        <v>A vencer</v>
      </c>
      <c r="G296" s="26" t="s">
        <v>33</v>
      </c>
      <c r="H296" s="29">
        <v>5</v>
      </c>
      <c r="I296" s="26" t="s">
        <v>30</v>
      </c>
      <c r="J296" s="30" t="s">
        <v>33</v>
      </c>
      <c r="K296" s="29"/>
      <c r="L296" s="30" t="s">
        <v>33</v>
      </c>
      <c r="M296" s="31"/>
      <c r="N296" s="31">
        <v>1</v>
      </c>
      <c r="O296" s="29" t="s">
        <v>29</v>
      </c>
      <c r="P296" s="29">
        <f t="shared" si="14"/>
        <v>4</v>
      </c>
    </row>
    <row r="297" s="16" customFormat="1" spans="1:16">
      <c r="A297" s="26">
        <f ca="1">RANDBETWEEN(A295,3600)</f>
        <v>3557</v>
      </c>
      <c r="B297" s="26"/>
      <c r="C297" s="26" t="s">
        <v>32</v>
      </c>
      <c r="D297" s="27">
        <v>46024</v>
      </c>
      <c r="E297" s="28">
        <f t="shared" si="12"/>
        <v>46384</v>
      </c>
      <c r="F297" s="32" t="str">
        <f ca="1" t="shared" si="13"/>
        <v>A vencer</v>
      </c>
      <c r="G297" s="26" t="s">
        <v>33</v>
      </c>
      <c r="H297" s="29">
        <v>5</v>
      </c>
      <c r="I297" s="26" t="s">
        <v>34</v>
      </c>
      <c r="J297" s="30" t="s">
        <v>33</v>
      </c>
      <c r="K297" s="29"/>
      <c r="L297" s="30" t="s">
        <v>33</v>
      </c>
      <c r="M297" s="31"/>
      <c r="N297" s="31">
        <v>5</v>
      </c>
      <c r="O297" s="29" t="s">
        <v>29</v>
      </c>
      <c r="P297" s="29">
        <f t="shared" ref="P297:P316" si="15">(H297+K297+M297)-N297</f>
        <v>0</v>
      </c>
    </row>
    <row r="298" s="16" customFormat="1" spans="1:16">
      <c r="A298" s="26">
        <f ca="1" t="shared" ref="A298:A316" si="16">RANDBETWEEN(A296,3600)</f>
        <v>3569</v>
      </c>
      <c r="B298" s="26"/>
      <c r="C298" s="26" t="s">
        <v>28</v>
      </c>
      <c r="D298" s="27">
        <v>46191</v>
      </c>
      <c r="E298" s="33">
        <f t="shared" si="12"/>
        <v>46551</v>
      </c>
      <c r="F298" s="32" t="str">
        <f ca="1" t="shared" si="13"/>
        <v>A vencer</v>
      </c>
      <c r="G298" s="26" t="s">
        <v>33</v>
      </c>
      <c r="H298" s="29">
        <v>5</v>
      </c>
      <c r="I298" s="26" t="s">
        <v>34</v>
      </c>
      <c r="J298" s="30" t="s">
        <v>29</v>
      </c>
      <c r="K298" s="29">
        <v>30</v>
      </c>
      <c r="L298" s="30" t="s">
        <v>29</v>
      </c>
      <c r="M298" s="31">
        <v>20</v>
      </c>
      <c r="N298" s="31">
        <v>0</v>
      </c>
      <c r="O298" s="29" t="s">
        <v>33</v>
      </c>
      <c r="P298" s="29">
        <f t="shared" si="15"/>
        <v>55</v>
      </c>
    </row>
    <row r="299" s="16" customFormat="1" spans="1:16">
      <c r="A299" s="26">
        <f ca="1" t="shared" si="16"/>
        <v>3564</v>
      </c>
      <c r="B299" s="26"/>
      <c r="C299" s="26" t="s">
        <v>36</v>
      </c>
      <c r="D299" s="27">
        <v>46203</v>
      </c>
      <c r="E299" s="33">
        <f t="shared" si="12"/>
        <v>46563</v>
      </c>
      <c r="F299" s="32" t="str">
        <f ca="1" t="shared" si="13"/>
        <v>A vencer</v>
      </c>
      <c r="G299" s="26" t="s">
        <v>33</v>
      </c>
      <c r="H299" s="29">
        <v>15</v>
      </c>
      <c r="I299" s="26" t="s">
        <v>34</v>
      </c>
      <c r="J299" s="30" t="s">
        <v>33</v>
      </c>
      <c r="K299" s="29"/>
      <c r="L299" s="30" t="s">
        <v>33</v>
      </c>
      <c r="M299" s="31"/>
      <c r="N299" s="31">
        <v>10</v>
      </c>
      <c r="O299" s="29" t="s">
        <v>29</v>
      </c>
      <c r="P299" s="29">
        <f t="shared" si="15"/>
        <v>5</v>
      </c>
    </row>
    <row r="300" s="16" customFormat="1" spans="1:16">
      <c r="A300" s="26">
        <f ca="1" t="shared" si="16"/>
        <v>3595</v>
      </c>
      <c r="B300" s="26"/>
      <c r="C300" s="26" t="s">
        <v>32</v>
      </c>
      <c r="D300" s="27">
        <v>46233</v>
      </c>
      <c r="E300" s="33">
        <f t="shared" si="12"/>
        <v>46593</v>
      </c>
      <c r="F300" s="32" t="str">
        <f ca="1" t="shared" si="13"/>
        <v>A vencer</v>
      </c>
      <c r="G300" s="26" t="s">
        <v>33</v>
      </c>
      <c r="H300" s="29">
        <v>10</v>
      </c>
      <c r="I300" s="26" t="s">
        <v>34</v>
      </c>
      <c r="J300" s="30" t="s">
        <v>33</v>
      </c>
      <c r="K300" s="29"/>
      <c r="L300" s="30" t="s">
        <v>33</v>
      </c>
      <c r="M300" s="31"/>
      <c r="N300" s="31">
        <v>3</v>
      </c>
      <c r="O300" s="29" t="s">
        <v>29</v>
      </c>
      <c r="P300" s="29">
        <f t="shared" si="15"/>
        <v>7</v>
      </c>
    </row>
    <row r="301" s="16" customFormat="1" spans="1:16">
      <c r="A301" s="26">
        <f ca="1" t="shared" si="16"/>
        <v>3595</v>
      </c>
      <c r="B301" s="26"/>
      <c r="C301" s="26" t="s">
        <v>28</v>
      </c>
      <c r="D301" s="27">
        <v>46235</v>
      </c>
      <c r="E301" s="33">
        <f t="shared" si="12"/>
        <v>46595</v>
      </c>
      <c r="F301" s="32" t="str">
        <f ca="1" t="shared" si="13"/>
        <v>A vencer</v>
      </c>
      <c r="G301" s="26" t="s">
        <v>33</v>
      </c>
      <c r="H301" s="29">
        <v>5</v>
      </c>
      <c r="I301" s="26" t="s">
        <v>34</v>
      </c>
      <c r="J301" s="30" t="s">
        <v>29</v>
      </c>
      <c r="K301" s="29">
        <v>30</v>
      </c>
      <c r="L301" s="30" t="s">
        <v>29</v>
      </c>
      <c r="M301" s="31">
        <v>20</v>
      </c>
      <c r="N301" s="31">
        <v>1</v>
      </c>
      <c r="O301" s="29" t="s">
        <v>29</v>
      </c>
      <c r="P301" s="29">
        <f t="shared" si="15"/>
        <v>54</v>
      </c>
    </row>
    <row r="302" s="16" customFormat="1" spans="1:16">
      <c r="A302" s="26">
        <f ca="1" t="shared" si="16"/>
        <v>3600</v>
      </c>
      <c r="B302" s="26"/>
      <c r="C302" s="26" t="s">
        <v>36</v>
      </c>
      <c r="D302" s="27">
        <v>46310</v>
      </c>
      <c r="E302" s="33">
        <f t="shared" si="12"/>
        <v>46670</v>
      </c>
      <c r="F302" s="32" t="str">
        <f ca="1" t="shared" si="13"/>
        <v>A vencer</v>
      </c>
      <c r="G302" s="26" t="s">
        <v>33</v>
      </c>
      <c r="H302" s="29">
        <v>5</v>
      </c>
      <c r="I302" s="26" t="s">
        <v>34</v>
      </c>
      <c r="J302" s="30" t="s">
        <v>33</v>
      </c>
      <c r="K302" s="29"/>
      <c r="L302" s="30" t="s">
        <v>33</v>
      </c>
      <c r="M302" s="31"/>
      <c r="N302" s="31">
        <v>2</v>
      </c>
      <c r="O302" s="29" t="s">
        <v>29</v>
      </c>
      <c r="P302" s="29">
        <f t="shared" si="15"/>
        <v>3</v>
      </c>
    </row>
    <row r="303" s="16" customFormat="1" spans="1:16">
      <c r="A303" s="26">
        <f ca="1" t="shared" si="16"/>
        <v>3597</v>
      </c>
      <c r="B303" s="26"/>
      <c r="C303" s="26" t="s">
        <v>32</v>
      </c>
      <c r="D303" s="27">
        <v>46325</v>
      </c>
      <c r="E303" s="33">
        <f t="shared" si="12"/>
        <v>46685</v>
      </c>
      <c r="F303" s="32" t="str">
        <f ca="1" t="shared" si="13"/>
        <v>A vencer</v>
      </c>
      <c r="G303" s="26" t="s">
        <v>33</v>
      </c>
      <c r="H303" s="29">
        <v>15</v>
      </c>
      <c r="I303" s="26" t="s">
        <v>34</v>
      </c>
      <c r="J303" s="30" t="s">
        <v>33</v>
      </c>
      <c r="K303" s="29"/>
      <c r="L303" s="30" t="s">
        <v>33</v>
      </c>
      <c r="M303" s="31"/>
      <c r="N303" s="31">
        <v>10</v>
      </c>
      <c r="O303" s="29" t="s">
        <v>29</v>
      </c>
      <c r="P303" s="29">
        <f t="shared" si="15"/>
        <v>5</v>
      </c>
    </row>
    <row r="304" s="16" customFormat="1" spans="1:16">
      <c r="A304" s="26">
        <f ca="1" t="shared" si="16"/>
        <v>3600</v>
      </c>
      <c r="B304" s="26"/>
      <c r="C304" s="26" t="s">
        <v>28</v>
      </c>
      <c r="D304" s="27">
        <v>46322</v>
      </c>
      <c r="E304" s="33">
        <f t="shared" si="12"/>
        <v>46682</v>
      </c>
      <c r="F304" s="32" t="str">
        <f ca="1" t="shared" si="13"/>
        <v>A vencer</v>
      </c>
      <c r="G304" s="26" t="s">
        <v>33</v>
      </c>
      <c r="H304" s="29">
        <v>10</v>
      </c>
      <c r="I304" s="26" t="s">
        <v>34</v>
      </c>
      <c r="J304" s="30" t="s">
        <v>29</v>
      </c>
      <c r="K304" s="29">
        <v>30</v>
      </c>
      <c r="L304" s="30" t="s">
        <v>29</v>
      </c>
      <c r="M304" s="31">
        <v>20</v>
      </c>
      <c r="N304" s="31">
        <v>0</v>
      </c>
      <c r="O304" s="29" t="s">
        <v>33</v>
      </c>
      <c r="P304" s="29">
        <f t="shared" si="15"/>
        <v>60</v>
      </c>
    </row>
    <row r="305" s="16" customFormat="1" spans="1:16">
      <c r="A305" s="26">
        <f ca="1" t="shared" si="16"/>
        <v>3598</v>
      </c>
      <c r="B305" s="26"/>
      <c r="C305" s="26" t="s">
        <v>36</v>
      </c>
      <c r="D305" s="27">
        <v>46323</v>
      </c>
      <c r="E305" s="33">
        <f t="shared" si="12"/>
        <v>46683</v>
      </c>
      <c r="F305" s="32" t="str">
        <f ca="1" t="shared" si="13"/>
        <v>A vencer</v>
      </c>
      <c r="G305" s="26" t="s">
        <v>33</v>
      </c>
      <c r="H305" s="29">
        <v>20</v>
      </c>
      <c r="I305" s="26" t="s">
        <v>34</v>
      </c>
      <c r="J305" s="30" t="s">
        <v>33</v>
      </c>
      <c r="K305" s="29"/>
      <c r="L305" s="30" t="s">
        <v>33</v>
      </c>
      <c r="M305" s="31"/>
      <c r="N305" s="31">
        <v>5</v>
      </c>
      <c r="O305" s="29" t="s">
        <v>29</v>
      </c>
      <c r="P305" s="29">
        <f t="shared" si="15"/>
        <v>15</v>
      </c>
    </row>
    <row r="306" s="16" customFormat="1" spans="1:16">
      <c r="A306" s="26">
        <f ca="1" t="shared" si="16"/>
        <v>3600</v>
      </c>
      <c r="B306" s="26"/>
      <c r="C306" s="26" t="s">
        <v>32</v>
      </c>
      <c r="D306" s="27">
        <v>46249</v>
      </c>
      <c r="E306" s="33">
        <f t="shared" si="12"/>
        <v>46609</v>
      </c>
      <c r="F306" s="32" t="str">
        <f ca="1" t="shared" si="13"/>
        <v>A vencer</v>
      </c>
      <c r="G306" s="26" t="s">
        <v>33</v>
      </c>
      <c r="H306" s="29">
        <v>15</v>
      </c>
      <c r="I306" s="26" t="s">
        <v>34</v>
      </c>
      <c r="J306" s="30" t="s">
        <v>33</v>
      </c>
      <c r="K306" s="29"/>
      <c r="L306" s="30" t="s">
        <v>33</v>
      </c>
      <c r="M306" s="31"/>
      <c r="N306" s="31">
        <v>2</v>
      </c>
      <c r="O306" s="29" t="s">
        <v>29</v>
      </c>
      <c r="P306" s="29">
        <f t="shared" si="15"/>
        <v>13</v>
      </c>
    </row>
    <row r="307" s="16" customFormat="1" spans="1:16">
      <c r="A307" s="26">
        <f ca="1" t="shared" si="16"/>
        <v>3600</v>
      </c>
      <c r="B307" s="26"/>
      <c r="C307" s="26" t="s">
        <v>28</v>
      </c>
      <c r="D307" s="27">
        <v>46288</v>
      </c>
      <c r="E307" s="33">
        <f t="shared" si="12"/>
        <v>46648</v>
      </c>
      <c r="F307" s="32" t="str">
        <f ca="1" t="shared" si="13"/>
        <v>A vencer</v>
      </c>
      <c r="G307" s="26" t="s">
        <v>33</v>
      </c>
      <c r="H307" s="29">
        <v>15</v>
      </c>
      <c r="I307" s="26" t="s">
        <v>34</v>
      </c>
      <c r="J307" s="30" t="s">
        <v>29</v>
      </c>
      <c r="K307" s="29">
        <v>30</v>
      </c>
      <c r="L307" s="30" t="s">
        <v>29</v>
      </c>
      <c r="M307" s="31">
        <v>20</v>
      </c>
      <c r="N307" s="31">
        <v>5</v>
      </c>
      <c r="O307" s="29" t="s">
        <v>29</v>
      </c>
      <c r="P307" s="29">
        <f t="shared" si="15"/>
        <v>60</v>
      </c>
    </row>
    <row r="308" s="16" customFormat="1" spans="1:16">
      <c r="A308" s="26">
        <f ca="1" t="shared" si="16"/>
        <v>3600</v>
      </c>
      <c r="B308" s="26"/>
      <c r="C308" s="26" t="s">
        <v>36</v>
      </c>
      <c r="D308" s="27">
        <v>46275</v>
      </c>
      <c r="E308" s="33">
        <f t="shared" si="12"/>
        <v>46635</v>
      </c>
      <c r="F308" s="32" t="str">
        <f ca="1" t="shared" si="13"/>
        <v>A vencer</v>
      </c>
      <c r="G308" s="26" t="s">
        <v>33</v>
      </c>
      <c r="H308" s="29">
        <v>10</v>
      </c>
      <c r="I308" s="26" t="s">
        <v>34</v>
      </c>
      <c r="J308" s="30" t="s">
        <v>33</v>
      </c>
      <c r="K308" s="29"/>
      <c r="L308" s="30" t="s">
        <v>33</v>
      </c>
      <c r="M308" s="31"/>
      <c r="N308" s="31">
        <v>3</v>
      </c>
      <c r="O308" s="29" t="s">
        <v>29</v>
      </c>
      <c r="P308" s="29">
        <f t="shared" si="15"/>
        <v>7</v>
      </c>
    </row>
    <row r="309" s="16" customFormat="1" spans="1:16">
      <c r="A309" s="26">
        <f ca="1" t="shared" si="16"/>
        <v>3600</v>
      </c>
      <c r="B309" s="26"/>
      <c r="C309" s="26" t="s">
        <v>32</v>
      </c>
      <c r="D309" s="27">
        <v>46274</v>
      </c>
      <c r="E309" s="33">
        <f t="shared" si="12"/>
        <v>46634</v>
      </c>
      <c r="F309" s="32" t="str">
        <f ca="1" t="shared" si="13"/>
        <v>A vencer</v>
      </c>
      <c r="G309" s="26" t="s">
        <v>33</v>
      </c>
      <c r="H309" s="29">
        <v>15</v>
      </c>
      <c r="I309" s="26" t="s">
        <v>34</v>
      </c>
      <c r="J309" s="30" t="s">
        <v>33</v>
      </c>
      <c r="K309" s="29"/>
      <c r="L309" s="30" t="s">
        <v>33</v>
      </c>
      <c r="M309" s="31"/>
      <c r="N309" s="31">
        <v>3</v>
      </c>
      <c r="O309" s="29" t="s">
        <v>29</v>
      </c>
      <c r="P309" s="29">
        <f t="shared" si="15"/>
        <v>12</v>
      </c>
    </row>
    <row r="310" s="16" customFormat="1" spans="1:16">
      <c r="A310" s="26">
        <f ca="1" t="shared" si="16"/>
        <v>3600</v>
      </c>
      <c r="B310" s="26"/>
      <c r="C310" s="26" t="s">
        <v>28</v>
      </c>
      <c r="D310" s="27">
        <v>46305</v>
      </c>
      <c r="E310" s="33">
        <f t="shared" si="12"/>
        <v>46665</v>
      </c>
      <c r="F310" s="32" t="str">
        <f ca="1" t="shared" si="13"/>
        <v>A vencer</v>
      </c>
      <c r="G310" s="26" t="s">
        <v>33</v>
      </c>
      <c r="H310" s="29">
        <v>5</v>
      </c>
      <c r="I310" s="26" t="s">
        <v>34</v>
      </c>
      <c r="J310" s="30" t="s">
        <v>29</v>
      </c>
      <c r="K310" s="29">
        <v>30</v>
      </c>
      <c r="L310" s="30" t="s">
        <v>29</v>
      </c>
      <c r="M310" s="31">
        <v>20</v>
      </c>
      <c r="N310" s="31">
        <v>0</v>
      </c>
      <c r="O310" s="29" t="s">
        <v>33</v>
      </c>
      <c r="P310" s="29">
        <f t="shared" si="15"/>
        <v>55</v>
      </c>
    </row>
    <row r="311" s="16" customFormat="1" spans="1:16">
      <c r="A311" s="26">
        <f ca="1" t="shared" si="16"/>
        <v>3600</v>
      </c>
      <c r="B311" s="26"/>
      <c r="C311" s="26" t="s">
        <v>36</v>
      </c>
      <c r="D311" s="27">
        <v>46337</v>
      </c>
      <c r="E311" s="33">
        <f t="shared" si="12"/>
        <v>46697</v>
      </c>
      <c r="F311" s="32" t="str">
        <f ca="1" t="shared" si="13"/>
        <v>A vencer</v>
      </c>
      <c r="G311" s="26" t="s">
        <v>33</v>
      </c>
      <c r="H311" s="29">
        <v>15</v>
      </c>
      <c r="I311" s="26" t="s">
        <v>34</v>
      </c>
      <c r="J311" s="30" t="s">
        <v>33</v>
      </c>
      <c r="K311" s="29"/>
      <c r="L311" s="30" t="s">
        <v>33</v>
      </c>
      <c r="M311" s="31"/>
      <c r="N311" s="31">
        <v>8</v>
      </c>
      <c r="O311" s="29" t="s">
        <v>29</v>
      </c>
      <c r="P311" s="29">
        <f t="shared" si="15"/>
        <v>7</v>
      </c>
    </row>
    <row r="312" s="16" customFormat="1" spans="1:16">
      <c r="A312" s="26">
        <f ca="1" t="shared" si="16"/>
        <v>3600</v>
      </c>
      <c r="B312" s="26"/>
      <c r="C312" s="26" t="s">
        <v>32</v>
      </c>
      <c r="D312" s="27">
        <v>46328</v>
      </c>
      <c r="E312" s="33">
        <f t="shared" si="12"/>
        <v>46688</v>
      </c>
      <c r="F312" s="32" t="str">
        <f ca="1" t="shared" si="13"/>
        <v>A vencer</v>
      </c>
      <c r="G312" s="26" t="s">
        <v>29</v>
      </c>
      <c r="H312" s="29">
        <v>10</v>
      </c>
      <c r="I312" s="26" t="s">
        <v>34</v>
      </c>
      <c r="J312" s="30" t="s">
        <v>33</v>
      </c>
      <c r="K312" s="29"/>
      <c r="L312" s="30" t="s">
        <v>33</v>
      </c>
      <c r="M312" s="31"/>
      <c r="N312" s="31"/>
      <c r="O312" s="29" t="s">
        <v>29</v>
      </c>
      <c r="P312" s="29">
        <f t="shared" si="15"/>
        <v>10</v>
      </c>
    </row>
    <row r="313" s="16" customFormat="1" spans="1:16">
      <c r="A313" s="26">
        <f ca="1" t="shared" si="16"/>
        <v>3600</v>
      </c>
      <c r="B313" s="26"/>
      <c r="C313" s="26" t="s">
        <v>28</v>
      </c>
      <c r="D313" s="27">
        <v>46300</v>
      </c>
      <c r="E313" s="33">
        <f t="shared" si="12"/>
        <v>46660</v>
      </c>
      <c r="F313" s="32" t="str">
        <f ca="1" t="shared" si="13"/>
        <v>A vencer</v>
      </c>
      <c r="G313" s="26" t="s">
        <v>29</v>
      </c>
      <c r="H313" s="29">
        <v>5</v>
      </c>
      <c r="I313" s="26" t="s">
        <v>34</v>
      </c>
      <c r="J313" s="30" t="s">
        <v>29</v>
      </c>
      <c r="K313" s="29">
        <v>30</v>
      </c>
      <c r="L313" s="30" t="s">
        <v>29</v>
      </c>
      <c r="M313" s="31">
        <v>20</v>
      </c>
      <c r="N313" s="31">
        <v>2</v>
      </c>
      <c r="O313" s="29" t="s">
        <v>29</v>
      </c>
      <c r="P313" s="29">
        <f t="shared" si="15"/>
        <v>53</v>
      </c>
    </row>
    <row r="314" s="16" customFormat="1" spans="1:16">
      <c r="A314" s="26">
        <f ca="1" t="shared" si="16"/>
        <v>3600</v>
      </c>
      <c r="B314" s="26"/>
      <c r="C314" s="26" t="s">
        <v>36</v>
      </c>
      <c r="D314" s="27">
        <v>46309</v>
      </c>
      <c r="E314" s="33">
        <f t="shared" si="12"/>
        <v>46669</v>
      </c>
      <c r="F314" s="32" t="str">
        <f ca="1" t="shared" si="13"/>
        <v>A vencer</v>
      </c>
      <c r="G314" s="26" t="s">
        <v>29</v>
      </c>
      <c r="H314" s="29">
        <v>5</v>
      </c>
      <c r="I314" s="26" t="s">
        <v>34</v>
      </c>
      <c r="J314" s="30" t="s">
        <v>33</v>
      </c>
      <c r="K314" s="29"/>
      <c r="L314" s="30" t="s">
        <v>33</v>
      </c>
      <c r="M314" s="31"/>
      <c r="N314" s="31">
        <v>1</v>
      </c>
      <c r="O314" s="29" t="s">
        <v>29</v>
      </c>
      <c r="P314" s="29">
        <f t="shared" si="15"/>
        <v>4</v>
      </c>
    </row>
    <row r="315" s="16" customFormat="1" spans="1:16">
      <c r="A315" s="26">
        <f ca="1" t="shared" si="16"/>
        <v>3600</v>
      </c>
      <c r="B315" s="26"/>
      <c r="C315" s="26" t="s">
        <v>32</v>
      </c>
      <c r="D315" s="27">
        <v>46355</v>
      </c>
      <c r="E315" s="33">
        <f t="shared" si="12"/>
        <v>46715</v>
      </c>
      <c r="F315" s="32" t="str">
        <f ca="1" t="shared" si="13"/>
        <v>A vencer</v>
      </c>
      <c r="G315" s="26" t="s">
        <v>29</v>
      </c>
      <c r="H315" s="29">
        <v>15</v>
      </c>
      <c r="I315" s="26" t="s">
        <v>34</v>
      </c>
      <c r="J315" s="30" t="s">
        <v>33</v>
      </c>
      <c r="K315" s="29"/>
      <c r="L315" s="30" t="s">
        <v>33</v>
      </c>
      <c r="M315" s="31"/>
      <c r="N315" s="31">
        <v>5</v>
      </c>
      <c r="O315" s="29" t="s">
        <v>29</v>
      </c>
      <c r="P315" s="29">
        <f t="shared" si="15"/>
        <v>10</v>
      </c>
    </row>
    <row r="316" s="16" customFormat="1" spans="1:16">
      <c r="A316" s="26">
        <f ca="1" t="shared" si="16"/>
        <v>3600</v>
      </c>
      <c r="B316" s="26"/>
      <c r="C316" s="26" t="s">
        <v>28</v>
      </c>
      <c r="D316" s="27">
        <v>46356</v>
      </c>
      <c r="E316" s="33">
        <f t="shared" si="12"/>
        <v>46716</v>
      </c>
      <c r="F316" s="32" t="str">
        <f ca="1" t="shared" si="13"/>
        <v>A vencer</v>
      </c>
      <c r="G316" s="26" t="s">
        <v>29</v>
      </c>
      <c r="H316" s="29">
        <v>10</v>
      </c>
      <c r="I316" s="26" t="s">
        <v>34</v>
      </c>
      <c r="J316" s="30" t="s">
        <v>29</v>
      </c>
      <c r="K316" s="29">
        <v>30</v>
      </c>
      <c r="L316" s="30" t="s">
        <v>29</v>
      </c>
      <c r="M316" s="31">
        <v>20</v>
      </c>
      <c r="N316" s="31">
        <v>10</v>
      </c>
      <c r="O316" s="29" t="s">
        <v>29</v>
      </c>
      <c r="P316" s="29">
        <f t="shared" si="15"/>
        <v>50</v>
      </c>
    </row>
  </sheetData>
  <pageMargins left="0.511811024" right="0.511811024" top="0.787401575" bottom="0.787401575" header="0.31496062" footer="0.31496062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B2:KJ54"/>
  <sheetViews>
    <sheetView showGridLines="0" topLeftCell="A20" workbookViewId="0">
      <selection activeCell="B29" sqref="B29"/>
    </sheetView>
  </sheetViews>
  <sheetFormatPr defaultColWidth="9" defaultRowHeight="14.25"/>
  <cols>
    <col min="1" max="1" width="3.875" style="10" customWidth="1"/>
    <col min="2" max="2" width="22" style="10"/>
    <col min="3" max="3" width="27.5" style="10"/>
    <col min="4" max="4" width="36.5" style="10"/>
    <col min="5" max="8" width="9.875" style="10"/>
    <col min="9" max="15" width="15.125" style="10"/>
    <col min="16" max="16" width="9.875" style="10"/>
    <col min="17" max="295" width="13.5" style="10"/>
    <col min="296" max="296" width="12.625" style="10"/>
    <col min="297" max="16384" width="9" style="10"/>
  </cols>
  <sheetData>
    <row r="2" spans="2:296">
      <c r="B2" s="10" t="s">
        <v>315</v>
      </c>
    </row>
    <row r="4" spans="2:296">
      <c r="B4" s="10" t="s">
        <v>316</v>
      </c>
    </row>
    <row r="5" spans="2:296">
      <c r="B5" s="10" t="s">
        <v>317</v>
      </c>
    </row>
    <row r="6" spans="2:296">
      <c r="B6" s="10" t="s">
        <v>318</v>
      </c>
    </row>
    <row r="7" spans="2:296">
      <c r="B7" s="10" t="s">
        <v>319</v>
      </c>
    </row>
    <row r="8" spans="2:296">
      <c r="B8" s="10" t="s">
        <v>320</v>
      </c>
    </row>
    <row r="9" spans="2:296">
      <c r="B9" s="10" t="s">
        <v>321</v>
      </c>
    </row>
    <row r="11" spans="2:296">
      <c r="B11"/>
      <c r="C11"/>
    </row>
    <row r="13" ht="15" spans="2:296">
      <c r="B13" s="11" t="s">
        <v>322</v>
      </c>
      <c r="C13"/>
      <c r="D13" s="12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</row>
    <row r="14" spans="2:296">
      <c r="B14" t="s">
        <v>16</v>
      </c>
      <c r="C14" t="s">
        <v>323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</row>
    <row r="15" spans="2:296">
      <c r="B15" t="s">
        <v>324</v>
      </c>
      <c r="C15">
        <v>39</v>
      </c>
      <c r="D15"/>
      <c r="E15">
        <f>C15</f>
        <v>39</v>
      </c>
      <c r="F15"/>
    </row>
    <row r="16" spans="2:296">
      <c r="B16" t="s">
        <v>325</v>
      </c>
      <c r="C16">
        <v>276</v>
      </c>
      <c r="D16"/>
      <c r="E16">
        <f>C16</f>
        <v>276</v>
      </c>
      <c r="F16"/>
    </row>
    <row r="17" spans="2:14">
      <c r="B17" t="s">
        <v>326</v>
      </c>
      <c r="C17">
        <v>315</v>
      </c>
      <c r="D17"/>
      <c r="E17">
        <f>C17</f>
        <v>315</v>
      </c>
      <c r="F17"/>
    </row>
    <row r="18" spans="2:14">
      <c r="B18"/>
      <c r="C18"/>
      <c r="D18"/>
      <c r="E18"/>
      <c r="F18"/>
    </row>
    <row r="19" spans="2:14">
      <c r="B19"/>
      <c r="C19"/>
      <c r="D19"/>
      <c r="E19"/>
      <c r="F19"/>
    </row>
    <row r="20" spans="2:14">
      <c r="B20" t="s">
        <v>17</v>
      </c>
      <c r="C20" t="s">
        <v>323</v>
      </c>
      <c r="D20"/>
      <c r="E20"/>
      <c r="F20"/>
    </row>
    <row r="21" spans="2:14">
      <c r="B21" t="s">
        <v>33</v>
      </c>
      <c r="C21">
        <v>162</v>
      </c>
      <c r="D21"/>
      <c r="E21"/>
      <c r="F21"/>
    </row>
    <row r="22" spans="2:14">
      <c r="B22" t="s">
        <v>29</v>
      </c>
      <c r="C22">
        <v>153</v>
      </c>
      <c r="D22"/>
      <c r="E22"/>
      <c r="F22"/>
    </row>
    <row r="23" spans="2:14">
      <c r="B23" t="s">
        <v>326</v>
      </c>
      <c r="C23">
        <v>315</v>
      </c>
      <c r="D23"/>
      <c r="E23"/>
      <c r="F23"/>
    </row>
    <row r="24" spans="2:14">
      <c r="B24"/>
      <c r="C24"/>
      <c r="D24"/>
      <c r="E24"/>
      <c r="F24"/>
    </row>
    <row r="25" spans="2:14">
      <c r="B25"/>
      <c r="C25"/>
      <c r="D25"/>
      <c r="E25"/>
    </row>
    <row r="26" spans="2:14">
      <c r="B26"/>
      <c r="C26"/>
      <c r="D26"/>
      <c r="E26"/>
    </row>
    <row r="27" spans="2:14">
      <c r="B27"/>
      <c r="C27"/>
      <c r="D27"/>
      <c r="E27"/>
    </row>
    <row r="28" ht="15" spans="2:14">
      <c r="B28" s="13"/>
      <c r="C28"/>
      <c r="D28"/>
    </row>
    <row r="29" spans="2:14">
      <c r="B29" t="s">
        <v>20</v>
      </c>
      <c r="C29" t="s">
        <v>327</v>
      </c>
      <c r="D29"/>
      <c r="E29"/>
      <c r="F29"/>
      <c r="G29"/>
      <c r="H29"/>
      <c r="I29"/>
      <c r="J29"/>
      <c r="K29"/>
      <c r="L29"/>
      <c r="M29"/>
      <c r="N29"/>
    </row>
    <row r="30" spans="2:14">
      <c r="B30" t="s">
        <v>33</v>
      </c>
      <c r="C30">
        <v>210</v>
      </c>
      <c r="D30"/>
      <c r="E30"/>
      <c r="F30"/>
      <c r="G30"/>
      <c r="H30"/>
      <c r="I30"/>
      <c r="J30"/>
      <c r="K30"/>
      <c r="L30"/>
      <c r="M30"/>
      <c r="N30"/>
    </row>
    <row r="31" spans="2:14">
      <c r="B31" t="s">
        <v>29</v>
      </c>
      <c r="C31">
        <v>105</v>
      </c>
      <c r="D31"/>
      <c r="E31"/>
      <c r="F31"/>
      <c r="G31"/>
      <c r="H31"/>
      <c r="I31"/>
      <c r="J31"/>
      <c r="K31"/>
      <c r="L31"/>
      <c r="M31"/>
      <c r="N31"/>
    </row>
    <row r="32" spans="2:14">
      <c r="B32" t="s">
        <v>326</v>
      </c>
      <c r="C32">
        <v>315</v>
      </c>
      <c r="D32" s="14"/>
      <c r="E32"/>
      <c r="F32"/>
      <c r="G32"/>
      <c r="H32"/>
      <c r="I32"/>
      <c r="J32"/>
      <c r="K32"/>
      <c r="L32"/>
      <c r="M32"/>
      <c r="N32"/>
    </row>
    <row r="33" spans="2:16">
      <c r="B33"/>
      <c r="C33"/>
      <c r="D33"/>
      <c r="E33"/>
      <c r="F33"/>
      <c r="G33"/>
      <c r="H33"/>
      <c r="I33"/>
    </row>
    <row r="34" spans="2:16">
      <c r="B34"/>
      <c r="C34"/>
      <c r="D34"/>
      <c r="E34"/>
      <c r="F34"/>
      <c r="G34"/>
      <c r="H34"/>
      <c r="I34"/>
    </row>
    <row r="35" ht="15" spans="2:16">
      <c r="B35" s="13"/>
      <c r="E35"/>
      <c r="F35"/>
      <c r="G35"/>
      <c r="H35"/>
      <c r="I35"/>
    </row>
    <row r="36" spans="2:16">
      <c r="B36" t="s">
        <v>22</v>
      </c>
      <c r="C36" t="s">
        <v>328</v>
      </c>
      <c r="D36"/>
      <c r="E36"/>
      <c r="F36"/>
      <c r="G36"/>
      <c r="H36"/>
      <c r="I36"/>
    </row>
    <row r="37" spans="2:16">
      <c r="B37" t="s">
        <v>33</v>
      </c>
      <c r="C37">
        <v>114</v>
      </c>
      <c r="D37"/>
      <c r="E37"/>
      <c r="F37"/>
      <c r="G37"/>
      <c r="H37"/>
      <c r="I37"/>
    </row>
    <row r="38" spans="2:16">
      <c r="B38" t="s">
        <v>29</v>
      </c>
      <c r="C38">
        <v>201</v>
      </c>
      <c r="D38"/>
      <c r="E38"/>
      <c r="F38"/>
      <c r="G38"/>
      <c r="H38"/>
      <c r="I38"/>
    </row>
    <row r="39" spans="2:16">
      <c r="B39" t="s">
        <v>326</v>
      </c>
      <c r="C39">
        <v>315</v>
      </c>
      <c r="D39" s="14"/>
      <c r="E39"/>
      <c r="F39"/>
      <c r="G39"/>
      <c r="H39"/>
      <c r="I39"/>
    </row>
    <row r="40" spans="2:16">
      <c r="B40"/>
      <c r="C40"/>
      <c r="D40"/>
      <c r="E40"/>
      <c r="F40"/>
      <c r="G40"/>
      <c r="H40"/>
      <c r="I40"/>
    </row>
    <row r="41" spans="2:16">
      <c r="B41"/>
      <c r="C41"/>
      <c r="D41"/>
      <c r="E41"/>
      <c r="F41"/>
      <c r="G41"/>
      <c r="H41"/>
      <c r="I41"/>
    </row>
    <row r="42" ht="15" spans="2:16">
      <c r="B42" s="15" t="s">
        <v>329</v>
      </c>
      <c r="C42"/>
      <c r="D42"/>
      <c r="E42"/>
      <c r="F42"/>
      <c r="G42"/>
      <c r="H42"/>
      <c r="I42"/>
    </row>
    <row r="43" spans="2:16">
      <c r="B43" t="s">
        <v>25</v>
      </c>
      <c r="C43" t="s">
        <v>330</v>
      </c>
      <c r="D43"/>
      <c r="E43"/>
      <c r="F43"/>
      <c r="G43"/>
      <c r="H43"/>
      <c r="I43"/>
    </row>
    <row r="44" spans="2:16">
      <c r="B44" t="s">
        <v>29</v>
      </c>
      <c r="C44">
        <v>260</v>
      </c>
      <c r="D44"/>
      <c r="E44"/>
      <c r="F44"/>
      <c r="G44"/>
      <c r="H44"/>
      <c r="I44"/>
    </row>
    <row r="45" spans="2:16">
      <c r="B45" t="s">
        <v>33</v>
      </c>
      <c r="C45">
        <v>54</v>
      </c>
      <c r="D45"/>
      <c r="E45"/>
      <c r="F45"/>
      <c r="G45"/>
      <c r="H45"/>
      <c r="I45"/>
    </row>
    <row r="46" spans="2:16">
      <c r="B46" t="s">
        <v>326</v>
      </c>
      <c r="C46">
        <v>314</v>
      </c>
      <c r="D46"/>
      <c r="E46"/>
      <c r="F46"/>
      <c r="G46"/>
      <c r="H46"/>
      <c r="I46"/>
    </row>
    <row r="47" spans="2:16">
      <c r="B47"/>
      <c r="C47"/>
      <c r="D47"/>
      <c r="E47"/>
      <c r="F47"/>
      <c r="G47"/>
      <c r="H47"/>
      <c r="I47"/>
    </row>
    <row r="48" spans="2:16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2:16">
      <c r="B49" t="s">
        <v>331</v>
      </c>
      <c r="C49" t="s">
        <v>332</v>
      </c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2:16">
      <c r="B50" t="s">
        <v>32</v>
      </c>
      <c r="C50" s="14">
        <v>501</v>
      </c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2:16">
      <c r="B51" t="s">
        <v>36</v>
      </c>
      <c r="C51" s="14">
        <v>1842</v>
      </c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2:16">
      <c r="B52" t="s">
        <v>28</v>
      </c>
      <c r="C52" s="14">
        <v>5775</v>
      </c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2:16">
      <c r="B53" t="s">
        <v>326</v>
      </c>
      <c r="C53" s="14">
        <v>8118</v>
      </c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2:16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</sheetData>
  <pageMargins left="0.511811024" right="0.511811024" top="0.787401575" bottom="0.787401575" header="0.31496062" footer="0.31496062"/>
  <headerFooter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0"/>
  <sheetViews>
    <sheetView showGridLines="0" showRowColHeaders="0" tabSelected="1" workbookViewId="0">
      <selection activeCell="J8" sqref="J8"/>
    </sheetView>
  </sheetViews>
  <sheetFormatPr defaultColWidth="9" defaultRowHeight="14.25" customHeight="1"/>
  <cols>
    <col min="1" max="1" width="28.875" style="1" customWidth="1"/>
    <col min="2" max="2" width="2.625" style="2" customWidth="1"/>
    <col min="3" max="3" width="23.75" style="2" customWidth="1"/>
    <col min="4" max="4" width="11.875" style="3" customWidth="1"/>
    <col min="5" max="5" width="3.125" style="2" customWidth="1"/>
    <col min="6" max="6" width="16.875" style="2" customWidth="1"/>
    <col min="7" max="7" width="12.625" style="2" customWidth="1"/>
    <col min="8" max="8" width="3.125" style="2" customWidth="1"/>
    <col min="9" max="9" width="17.625" style="2"/>
    <col min="10" max="10" width="11.875" style="2" customWidth="1"/>
    <col min="11" max="11" width="2.625" style="2" customWidth="1"/>
    <col min="12" max="12" width="17.75" style="2" hidden="1" customWidth="1"/>
    <col min="13" max="13" width="10.75" style="2" hidden="1" customWidth="1"/>
    <col min="14" max="14" width="11.375" style="2" hidden="1" customWidth="1"/>
    <col min="15" max="15" width="12.875" style="2" hidden="1" customWidth="1"/>
    <col min="16" max="16" width="14.75" style="2" hidden="1" customWidth="1"/>
    <col min="17" max="17" width="16.5" hidden="1" customWidth="1"/>
    <col min="18" max="18" width="15" hidden="1" customWidth="1"/>
    <col min="19" max="19" width="14.125" hidden="1" customWidth="1"/>
    <col min="20" max="20" width="14.5" hidden="1" customWidth="1"/>
    <col min="21" max="21" width="14.75" hidden="1" customWidth="1"/>
    <col min="22" max="22" width="17.75" hidden="1" customWidth="1"/>
    <col min="23" max="23" width="12.75" hidden="1" customWidth="1"/>
    <col min="24" max="24" width="15" hidden="1" customWidth="1"/>
    <col min="25" max="25" width="16.25" hidden="1" customWidth="1"/>
    <col min="26" max="26" width="12" hidden="1" customWidth="1"/>
    <col min="27" max="27" width="14.5" hidden="1" customWidth="1"/>
    <col min="28" max="28" width="15" hidden="1" customWidth="1"/>
    <col min="29" max="29" width="13.875" hidden="1" customWidth="1"/>
    <col min="30" max="30" width="13.375" hidden="1" customWidth="1"/>
    <col min="31" max="31" width="12.625" hidden="1" customWidth="1"/>
    <col min="32" max="32" width="14.75" hidden="1" customWidth="1"/>
    <col min="33" max="33" width="11.5" hidden="1" customWidth="1"/>
    <col min="34" max="34" width="10.375" hidden="1" customWidth="1"/>
    <col min="35" max="35" width="14" hidden="1" customWidth="1"/>
    <col min="36" max="36" width="16.375" hidden="1" customWidth="1"/>
    <col min="37" max="37" width="14.375" hidden="1" customWidth="1"/>
    <col min="38" max="38" width="15.75" hidden="1" customWidth="1"/>
    <col min="39" max="39" width="17.25" hidden="1" customWidth="1"/>
    <col min="40" max="40" width="12.625" hidden="1" customWidth="1"/>
    <col min="41" max="43" width="14.625" hidden="1" customWidth="1"/>
    <col min="44" max="44" width="12.75" hidden="1" customWidth="1"/>
    <col min="45" max="45" width="17.125" hidden="1" customWidth="1"/>
    <col min="46" max="46" width="13.625" hidden="1" customWidth="1"/>
    <col min="47" max="47" width="16.5" hidden="1" customWidth="1"/>
    <col min="48" max="48" width="12.25" hidden="1" customWidth="1"/>
    <col min="49" max="49" width="14.125" hidden="1" customWidth="1"/>
    <col min="50" max="50" width="14" hidden="1" customWidth="1"/>
    <col min="51" max="51" width="13.5" hidden="1" customWidth="1"/>
    <col min="52" max="53" width="12.875" hidden="1" customWidth="1"/>
    <col min="54" max="54" width="15" hidden="1" customWidth="1"/>
    <col min="55" max="55" width="13.875" hidden="1" customWidth="1"/>
    <col min="56" max="56" width="16.125" hidden="1" customWidth="1"/>
    <col min="57" max="57" width="16" hidden="1" customWidth="1"/>
    <col min="58" max="58" width="13.625" hidden="1" customWidth="1"/>
    <col min="59" max="59" width="12.25" hidden="1" customWidth="1"/>
    <col min="60" max="60" width="13.125" hidden="1" customWidth="1"/>
    <col min="61" max="61" width="16.25" hidden="1" customWidth="1"/>
    <col min="62" max="62" width="12.125" hidden="1" customWidth="1"/>
    <col min="63" max="63" width="15.75" hidden="1" customWidth="1"/>
    <col min="64" max="64" width="12.375" hidden="1" customWidth="1"/>
    <col min="65" max="65" width="14.875" hidden="1" customWidth="1"/>
    <col min="66" max="66" width="13.25" hidden="1" customWidth="1"/>
    <col min="67" max="67" width="15.75" hidden="1" customWidth="1"/>
    <col min="68" max="68" width="13.875" hidden="1" customWidth="1"/>
    <col min="69" max="69" width="15.875" hidden="1" customWidth="1"/>
    <col min="70" max="70" width="13.75" hidden="1" customWidth="1"/>
    <col min="71" max="71" width="12.5" hidden="1" customWidth="1"/>
    <col min="72" max="72" width="12" hidden="1" customWidth="1"/>
    <col min="73" max="73" width="12.75" hidden="1" customWidth="1"/>
    <col min="74" max="74" width="17.25" hidden="1" customWidth="1"/>
    <col min="75" max="75" width="14.875" hidden="1" customWidth="1"/>
    <col min="76" max="76" width="16" hidden="1" customWidth="1"/>
    <col min="77" max="77" width="15" hidden="1" customWidth="1"/>
    <col min="78" max="78" width="16.25" hidden="1" customWidth="1"/>
    <col min="79" max="79" width="15.75" hidden="1" customWidth="1"/>
    <col min="80" max="81" width="16.125" hidden="1" customWidth="1"/>
    <col min="82" max="82" width="16.375" hidden="1" customWidth="1"/>
    <col min="83" max="83" width="13.625" hidden="1" customWidth="1"/>
    <col min="84" max="84" width="15.125" hidden="1" customWidth="1"/>
    <col min="85" max="85" width="17.375" hidden="1" customWidth="1"/>
    <col min="86" max="86" width="12.5" hidden="1" customWidth="1"/>
    <col min="87" max="87" width="14.375" hidden="1" customWidth="1"/>
    <col min="88" max="88" width="15.875" hidden="1" customWidth="1"/>
    <col min="89" max="89" width="15.125" hidden="1" customWidth="1"/>
    <col min="90" max="90" width="14.75" hidden="1" customWidth="1"/>
    <col min="91" max="91" width="12.625" hidden="1" customWidth="1"/>
    <col min="92" max="92" width="11.875" hidden="1" customWidth="1"/>
    <col min="93" max="93" width="13.5" hidden="1" customWidth="1"/>
    <col min="94" max="94" width="14.5" hidden="1" customWidth="1"/>
    <col min="95" max="95" width="20.75" hidden="1" customWidth="1"/>
    <col min="96" max="96" width="12.25" hidden="1" customWidth="1"/>
    <col min="97" max="97" width="12.75" hidden="1" customWidth="1"/>
    <col min="98" max="98" width="11.25" hidden="1" customWidth="1"/>
    <col min="99" max="99" width="11.625" hidden="1" customWidth="1"/>
    <col min="100" max="100" width="15.75" hidden="1" customWidth="1"/>
    <col min="101" max="101" width="12.5" hidden="1" customWidth="1"/>
    <col min="102" max="102" width="10.875" hidden="1" customWidth="1"/>
    <col min="103" max="103" width="16.25" hidden="1" customWidth="1"/>
    <col min="104" max="104" width="15.625" hidden="1" customWidth="1"/>
    <col min="105" max="105" width="14" hidden="1" customWidth="1"/>
    <col min="106" max="106" width="17.5" hidden="1" customWidth="1"/>
    <col min="107" max="107" width="14.375" hidden="1" customWidth="1"/>
    <col min="108" max="108" width="14.625" hidden="1" customWidth="1"/>
    <col min="109" max="109" width="13.625" hidden="1" customWidth="1"/>
    <col min="110" max="110" width="19.625" hidden="1" customWidth="1"/>
    <col min="111" max="111" width="19.875" hidden="1" customWidth="1"/>
    <col min="112" max="112" width="12.875" hidden="1" customWidth="1"/>
    <col min="113" max="113" width="10.625" hidden="1" customWidth="1"/>
    <col min="114" max="114" width="17.375" hidden="1" customWidth="1"/>
    <col min="115" max="115" width="14.75" hidden="1" customWidth="1"/>
    <col min="116" max="116" width="13.5" hidden="1" customWidth="1"/>
    <col min="117" max="117" width="11.5" hidden="1" customWidth="1"/>
    <col min="118" max="118" width="11.875" hidden="1" customWidth="1"/>
    <col min="119" max="119" width="15.875" hidden="1" customWidth="1"/>
    <col min="120" max="120" width="14.5" hidden="1" customWidth="1"/>
    <col min="121" max="121" width="11" hidden="1" customWidth="1"/>
    <col min="122" max="122" width="16.5" hidden="1" customWidth="1"/>
    <col min="123" max="123" width="15.375" hidden="1" customWidth="1"/>
    <col min="124" max="124" width="11.5" hidden="1" customWidth="1"/>
    <col min="125" max="125" width="15" hidden="1" customWidth="1"/>
    <col min="126" max="126" width="13.25" hidden="1" customWidth="1"/>
    <col min="127" max="127" width="17.375" hidden="1" customWidth="1"/>
    <col min="128" max="128" width="14.125" hidden="1" customWidth="1"/>
    <col min="129" max="129" width="14.75" hidden="1" customWidth="1"/>
    <col min="130" max="130" width="17.125" hidden="1" customWidth="1"/>
    <col min="131" max="131" width="16.5" hidden="1" customWidth="1"/>
    <col min="132" max="132" width="15.25" hidden="1" customWidth="1"/>
    <col min="133" max="133" width="15.375" hidden="1" customWidth="1"/>
    <col min="134" max="134" width="16.5" hidden="1" customWidth="1"/>
    <col min="135" max="135" width="15.25" hidden="1" customWidth="1"/>
    <col min="136" max="136" width="15.375" hidden="1" customWidth="1"/>
    <col min="137" max="137" width="17.125" hidden="1" customWidth="1"/>
    <col min="138" max="138" width="15.375" hidden="1" customWidth="1"/>
    <col min="139" max="139" width="17.25" hidden="1" customWidth="1"/>
    <col min="140" max="140" width="16.375" hidden="1" customWidth="1"/>
    <col min="141" max="141" width="12.125" hidden="1" customWidth="1"/>
    <col min="142" max="142" width="12.5" hidden="1" customWidth="1"/>
    <col min="143" max="143" width="12.125" hidden="1" customWidth="1"/>
    <col min="144" max="144" width="15.125" hidden="1" customWidth="1"/>
    <col min="145" max="145" width="16.25" hidden="1" customWidth="1"/>
    <col min="146" max="146" width="15.875" hidden="1" customWidth="1"/>
    <col min="147" max="147" width="14.125" hidden="1" customWidth="1"/>
    <col min="148" max="148" width="14.375" hidden="1" customWidth="1"/>
    <col min="149" max="149" width="15" hidden="1" customWidth="1"/>
    <col min="150" max="150" width="12.25" hidden="1" customWidth="1"/>
    <col min="151" max="151" width="14.375" hidden="1" customWidth="1"/>
    <col min="152" max="152" width="14.125" hidden="1" customWidth="1"/>
    <col min="153" max="153" width="13.375" hidden="1" customWidth="1"/>
    <col min="154" max="154" width="14.625" hidden="1" customWidth="1"/>
    <col min="155" max="155" width="15.375" hidden="1" customWidth="1"/>
    <col min="156" max="156" width="12.875" hidden="1" customWidth="1"/>
    <col min="157" max="157" width="13.375" hidden="1" customWidth="1"/>
    <col min="158" max="159" width="13.875" hidden="1" customWidth="1"/>
    <col min="160" max="160" width="17.75" hidden="1" customWidth="1"/>
    <col min="161" max="161" width="13.5" hidden="1" customWidth="1"/>
    <col min="162" max="162" width="11.125" hidden="1" customWidth="1"/>
    <col min="163" max="163" width="14.5" hidden="1" customWidth="1"/>
    <col min="164" max="164" width="15.75" hidden="1" customWidth="1"/>
    <col min="165" max="165" width="14.125" hidden="1" customWidth="1"/>
    <col min="166" max="166" width="13.25" hidden="1" customWidth="1"/>
    <col min="167" max="167" width="15.875" hidden="1" customWidth="1"/>
    <col min="168" max="168" width="14" hidden="1" customWidth="1"/>
    <col min="169" max="169" width="15.125" hidden="1" customWidth="1"/>
    <col min="170" max="170" width="14.125" hidden="1" customWidth="1"/>
    <col min="171" max="171" width="17.75" hidden="1" customWidth="1"/>
    <col min="172" max="172" width="16" hidden="1" customWidth="1"/>
    <col min="173" max="173" width="13.75" hidden="1" customWidth="1"/>
    <col min="174" max="174" width="13.375" hidden="1" customWidth="1"/>
    <col min="175" max="175" width="12.875" hidden="1" customWidth="1"/>
    <col min="176" max="176" width="16.125" hidden="1" customWidth="1"/>
    <col min="177" max="178" width="15.25" hidden="1" customWidth="1"/>
    <col min="179" max="179" width="14.375" hidden="1" customWidth="1"/>
    <col min="180" max="180" width="12" hidden="1" customWidth="1"/>
    <col min="181" max="181" width="15.625" hidden="1" customWidth="1"/>
    <col min="182" max="182" width="15.375" hidden="1" customWidth="1"/>
    <col min="183" max="183" width="17.5" hidden="1" customWidth="1"/>
    <col min="184" max="184" width="14.75" hidden="1" customWidth="1"/>
    <col min="185" max="185" width="14.375" hidden="1" customWidth="1"/>
    <col min="186" max="186" width="17.875" hidden="1" customWidth="1"/>
    <col min="187" max="187" width="15.625" hidden="1" customWidth="1"/>
    <col min="188" max="188" width="18.875" hidden="1" customWidth="1"/>
    <col min="189" max="189" width="14.625" hidden="1" customWidth="1"/>
    <col min="190" max="190" width="13.125" hidden="1" customWidth="1"/>
    <col min="191" max="191" width="13.875" hidden="1" customWidth="1"/>
    <col min="192" max="192" width="13.25" hidden="1" customWidth="1"/>
    <col min="193" max="193" width="14.5" hidden="1" customWidth="1"/>
    <col min="194" max="194" width="13.375" hidden="1" customWidth="1"/>
    <col min="195" max="195" width="16.125" hidden="1" customWidth="1"/>
    <col min="196" max="196" width="17.75" hidden="1" customWidth="1"/>
    <col min="197" max="197" width="15.375" hidden="1" customWidth="1"/>
    <col min="198" max="198" width="12.75" hidden="1" customWidth="1"/>
    <col min="199" max="199" width="14.375" hidden="1" customWidth="1"/>
    <col min="200" max="200" width="16.875" hidden="1" customWidth="1"/>
    <col min="201" max="201" width="11.375" hidden="1" customWidth="1"/>
    <col min="202" max="202" width="16.625" hidden="1" customWidth="1"/>
    <col min="203" max="203" width="17.875" hidden="1" customWidth="1"/>
    <col min="204" max="204" width="13.375" hidden="1" customWidth="1"/>
    <col min="205" max="205" width="13.5" hidden="1" customWidth="1"/>
    <col min="206" max="206" width="16.25" hidden="1" customWidth="1"/>
    <col min="207" max="207" width="15.75" hidden="1" customWidth="1"/>
    <col min="208" max="208" width="15" hidden="1" customWidth="1"/>
    <col min="209" max="209" width="17.875" hidden="1" customWidth="1"/>
    <col min="210" max="210" width="13.625" hidden="1" customWidth="1"/>
    <col min="211" max="211" width="12" hidden="1" customWidth="1"/>
    <col min="212" max="212" width="15.375" hidden="1" customWidth="1"/>
    <col min="213" max="213" width="11.5" hidden="1" customWidth="1"/>
    <col min="214" max="214" width="13.125" hidden="1" customWidth="1"/>
    <col min="215" max="215" width="15.25" hidden="1" customWidth="1"/>
    <col min="216" max="216" width="13.625" hidden="1" customWidth="1"/>
    <col min="217" max="217" width="14.5" hidden="1" customWidth="1"/>
    <col min="218" max="218" width="14.625" hidden="1" customWidth="1"/>
    <col min="219" max="219" width="14.5" hidden="1" customWidth="1"/>
    <col min="220" max="220" width="13.875" hidden="1" customWidth="1"/>
    <col min="221" max="221" width="14.5" hidden="1" customWidth="1"/>
    <col min="222" max="222" width="12.875" hidden="1" customWidth="1"/>
    <col min="223" max="223" width="13.25" hidden="1" customWidth="1"/>
    <col min="224" max="224" width="16.875" hidden="1" customWidth="1"/>
    <col min="225" max="225" width="9.375" hidden="1" customWidth="1"/>
    <col min="226" max="226" width="10.125" hidden="1" customWidth="1"/>
    <col min="227" max="227" width="16.25" hidden="1" customWidth="1"/>
    <col min="228" max="228" width="14.625" hidden="1" customWidth="1"/>
    <col min="229" max="229" width="19.125" hidden="1" customWidth="1"/>
    <col min="230" max="230" width="15.875" hidden="1" customWidth="1"/>
    <col min="231" max="231" width="15.75" hidden="1" customWidth="1"/>
    <col min="232" max="232" width="16.25" hidden="1" customWidth="1"/>
    <col min="233" max="234" width="12.25" hidden="1" customWidth="1"/>
    <col min="235" max="235" width="13.75" hidden="1" customWidth="1"/>
    <col min="236" max="236" width="17.375" hidden="1" customWidth="1"/>
    <col min="237" max="237" width="13.75" hidden="1" customWidth="1"/>
    <col min="238" max="238" width="16.5" hidden="1" customWidth="1"/>
    <col min="239" max="239" width="16.875" hidden="1" customWidth="1"/>
    <col min="240" max="240" width="16.375" hidden="1" customWidth="1"/>
    <col min="241" max="241" width="14" hidden="1" customWidth="1"/>
    <col min="242" max="243" width="13.25" hidden="1" customWidth="1"/>
    <col min="244" max="244" width="15.25" hidden="1" customWidth="1"/>
    <col min="245" max="245" width="13.375" hidden="1" customWidth="1"/>
    <col min="246" max="246" width="12.125" hidden="1" customWidth="1"/>
    <col min="247" max="247" width="16.375" hidden="1" customWidth="1"/>
    <col min="248" max="248" width="16.625" hidden="1" customWidth="1"/>
    <col min="249" max="249" width="14.375" hidden="1" customWidth="1"/>
    <col min="250" max="250" width="18.375" hidden="1" customWidth="1"/>
    <col min="251" max="251" width="16" hidden="1" customWidth="1"/>
    <col min="252" max="252" width="13.375" hidden="1" customWidth="1"/>
    <col min="253" max="253" width="15" hidden="1" customWidth="1"/>
    <col min="254" max="254" width="13.5" hidden="1" customWidth="1"/>
    <col min="255" max="255" width="16.25" hidden="1" customWidth="1"/>
    <col min="256" max="256" width="18.875" hidden="1" customWidth="1"/>
    <col min="257" max="257" width="11.875" hidden="1" customWidth="1"/>
    <col min="258" max="258" width="14.875" hidden="1" customWidth="1"/>
    <col min="259" max="259" width="14.5" hidden="1" customWidth="1"/>
    <col min="260" max="260" width="13.75" hidden="1" customWidth="1"/>
    <col min="261" max="261" width="15.75" hidden="1" customWidth="1"/>
    <col min="262" max="262" width="13.25" hidden="1" customWidth="1"/>
    <col min="263" max="263" width="16.125" hidden="1" customWidth="1"/>
    <col min="264" max="264" width="14.375" hidden="1" customWidth="1"/>
    <col min="265" max="265" width="16.125" hidden="1" customWidth="1"/>
    <col min="266" max="266" width="18.75" hidden="1" customWidth="1"/>
    <col min="267" max="267" width="14.375" hidden="1" customWidth="1"/>
    <col min="268" max="268" width="12.875" hidden="1" customWidth="1"/>
    <col min="269" max="269" width="16.125" hidden="1" customWidth="1"/>
    <col min="270" max="270" width="16.625" hidden="1" customWidth="1"/>
    <col min="271" max="271" width="11.625" hidden="1" customWidth="1"/>
    <col min="272" max="272" width="15.75" hidden="1" customWidth="1"/>
    <col min="273" max="273" width="16.625" hidden="1" customWidth="1"/>
    <col min="274" max="274" width="14.5" hidden="1" customWidth="1"/>
    <col min="275" max="275" width="14.75" hidden="1" customWidth="1"/>
    <col min="276" max="276" width="18.25" hidden="1" customWidth="1"/>
    <col min="277" max="277" width="15.75" hidden="1" customWidth="1"/>
    <col min="278" max="278" width="19.375" hidden="1" customWidth="1"/>
    <col min="279" max="279" width="15.375" hidden="1" customWidth="1"/>
    <col min="280" max="280" width="11.5" hidden="1" customWidth="1"/>
    <col min="281" max="281" width="9.75" hidden="1" customWidth="1"/>
    <col min="282" max="282" width="12.25" hidden="1" customWidth="1"/>
    <col min="283" max="283" width="13.5" hidden="1" customWidth="1"/>
    <col min="284" max="284" width="11" hidden="1" customWidth="1"/>
    <col min="285" max="16384" width="9" hidden="1" customWidth="1"/>
  </cols>
  <sheetData>
    <row r="1" ht="42" customHeight="1" spans="1:11">
      <c r="C1" s="4" t="s">
        <v>333</v>
      </c>
      <c r="D1" s="4"/>
      <c r="E1" s="4"/>
      <c r="F1" s="4"/>
      <c r="G1" s="4"/>
      <c r="H1" s="4"/>
      <c r="I1" s="4"/>
      <c r="J1" s="4"/>
      <c r="K1" s="4"/>
    </row>
    <row r="2" customHeight="1" spans="1:11">
      <c r="A2" s="5"/>
      <c r="J2" s="6" t="s">
        <v>334</v>
      </c>
      <c r="K2" s="6"/>
    </row>
    <row r="3" customHeight="1" spans="1:11">
      <c r="A3" s="5"/>
      <c r="J3" s="7"/>
      <c r="K3" s="7"/>
    </row>
    <row r="4" customHeight="1" spans="1:11">
      <c r="A4" s="5"/>
      <c r="C4" s="8" t="s">
        <v>335</v>
      </c>
      <c r="D4" s="8">
        <f>C̳álculos!E17</f>
        <v>315</v>
      </c>
      <c r="F4" s="8" t="s">
        <v>324</v>
      </c>
      <c r="G4" s="8">
        <f>IFERROR(C̳álculos!E15,0)</f>
        <v>39</v>
      </c>
      <c r="I4" s="8" t="s">
        <v>336</v>
      </c>
      <c r="J4" s="8">
        <f>C̳álculos!E16</f>
        <v>276</v>
      </c>
    </row>
    <row r="5" customHeight="1" spans="1:11">
      <c r="C5" s="8"/>
      <c r="D5" s="8"/>
      <c r="F5" s="8"/>
      <c r="G5" s="8"/>
      <c r="I5" s="8"/>
      <c r="J5" s="8"/>
    </row>
    <row r="24" customHeight="1" spans="4:10">
      <c r="D24" s="2"/>
    </row>
    <row r="25" customHeight="1" spans="4:10">
      <c r="D25" s="2"/>
      <c r="I25" s="9"/>
      <c r="J25" s="9"/>
    </row>
    <row r="26" customHeight="1" spans="4:10">
      <c r="D26" s="2"/>
      <c r="I26" s="9"/>
      <c r="J26" s="9"/>
    </row>
    <row r="27" customHeight="1" spans="4:10">
      <c r="D27" s="2"/>
      <c r="I27" s="9"/>
      <c r="J27" s="9"/>
    </row>
    <row r="28" customHeight="1" spans="4:10">
      <c r="D28" s="2"/>
    </row>
    <row r="29" customHeight="1" spans="4:10">
      <c r="D29" s="2"/>
    </row>
    <row r="30" customHeight="1" spans="4:10">
      <c r="D30" s="2"/>
    </row>
    <row r="31" customHeight="1" spans="4:10">
      <c r="D31" s="2"/>
    </row>
    <row r="32" customHeight="1" spans="4:10">
      <c r="D32" s="2"/>
      <c r="I32" s="9"/>
      <c r="J32" s="9"/>
    </row>
    <row r="33" customHeight="1" spans="4:10">
      <c r="D33" s="2"/>
      <c r="I33" s="9"/>
      <c r="J33" s="9"/>
    </row>
    <row r="34" customHeight="1" spans="4:10">
      <c r="D34" s="2"/>
      <c r="I34" s="9"/>
      <c r="J34" s="9"/>
    </row>
    <row r="35" customHeight="1" spans="4:10">
      <c r="D35" s="2"/>
      <c r="I35" s="9"/>
      <c r="J35" s="9"/>
    </row>
    <row r="36" customHeight="1" spans="4:10">
      <c r="D36" s="2"/>
    </row>
    <row r="37" customHeight="1" spans="4:10">
      <c r="D37" s="2"/>
    </row>
    <row r="38" customHeight="1" spans="4:10">
      <c r="D38" s="2"/>
    </row>
    <row r="39" customHeight="1" spans="4:10">
      <c r="D39" s="2"/>
    </row>
    <row r="40" customHeight="1" spans="4:10">
      <c r="D40" s="2"/>
    </row>
    <row r="41" customHeight="1" spans="4:10">
      <c r="D41" s="2"/>
    </row>
    <row r="42" customHeight="1" spans="4:10">
      <c r="D42" s="2"/>
    </row>
    <row r="43" customHeight="1" spans="4:10">
      <c r="D43" s="2"/>
    </row>
    <row r="44" customHeight="1" spans="4:10">
      <c r="D44" s="2"/>
    </row>
    <row r="45" customHeight="1" spans="4:10">
      <c r="D45" s="2"/>
    </row>
    <row r="46" customHeight="1" spans="4:10">
      <c r="D46" s="2"/>
    </row>
    <row r="47" customHeight="1" spans="4:10">
      <c r="D47" s="2"/>
    </row>
    <row r="48" customHeight="1" spans="4:10">
      <c r="D48" s="2"/>
    </row>
    <row r="49" customHeight="1" spans="4:4">
      <c r="D49" s="2"/>
    </row>
    <row r="50" customHeight="1" spans="4:4">
      <c r="D50" s="2"/>
    </row>
    <row r="51" customHeight="1" spans="4:4">
      <c r="D51" s="2"/>
    </row>
    <row r="52" customHeight="1" spans="4:4">
      <c r="D52" s="2"/>
    </row>
    <row r="53" customHeight="1" spans="4:4">
      <c r="D53" s="2"/>
    </row>
    <row r="54" customHeight="1" spans="4:4">
      <c r="D54" s="2"/>
    </row>
    <row r="55" customHeight="1" spans="4:4">
      <c r="D55" s="2"/>
    </row>
    <row r="56" customHeight="1" spans="4:4">
      <c r="D56" s="2"/>
    </row>
    <row r="57" customHeight="1" spans="4:4">
      <c r="D57" s="2"/>
    </row>
    <row r="58" customHeight="1" spans="4:4">
      <c r="D58" s="2"/>
    </row>
    <row r="59" customHeight="1" spans="4:4">
      <c r="D59" s="2"/>
    </row>
    <row r="60" customHeight="1" spans="4:4">
      <c r="D60" s="2"/>
    </row>
    <row r="61" customHeight="1" spans="4:4">
      <c r="D61" s="2"/>
    </row>
    <row r="62" customHeight="1" spans="4:4">
      <c r="D62" s="2"/>
    </row>
    <row r="63" customHeight="1" spans="4:4">
      <c r="D63" s="2"/>
    </row>
    <row r="64" customHeight="1" spans="4:4">
      <c r="D64" s="2"/>
    </row>
    <row r="65" customHeight="1" spans="4:4">
      <c r="D65" s="2"/>
    </row>
    <row r="66" customHeight="1" spans="4:4">
      <c r="D66" s="2"/>
    </row>
    <row r="67" customHeight="1" spans="4:4">
      <c r="D67" s="2"/>
    </row>
    <row r="68" customHeight="1" spans="4:4">
      <c r="D68" s="2"/>
    </row>
    <row r="69" customHeight="1" spans="4:4">
      <c r="D69" s="2"/>
    </row>
    <row r="70" customHeight="1" spans="4:4">
      <c r="D70" s="2"/>
    </row>
    <row r="71" customHeight="1" spans="4:4">
      <c r="D71" s="2"/>
    </row>
    <row r="72" customHeight="1" spans="4:4">
      <c r="D72" s="2"/>
    </row>
    <row r="73" customHeight="1" spans="4:4">
      <c r="D73" s="2"/>
    </row>
    <row r="74" customHeight="1" spans="4:4">
      <c r="D74" s="2"/>
    </row>
    <row r="75" customHeight="1" spans="4:4">
      <c r="D75" s="2"/>
    </row>
    <row r="76" customHeight="1" spans="4:4">
      <c r="D76" s="2"/>
    </row>
    <row r="77" customHeight="1" spans="4:4">
      <c r="D77" s="2"/>
    </row>
    <row r="78" customHeight="1" spans="4:4">
      <c r="D78" s="2"/>
    </row>
    <row r="79" customHeight="1" spans="4:4">
      <c r="D79" s="2"/>
    </row>
    <row r="80" customHeight="1" spans="4:4">
      <c r="D80" s="2"/>
    </row>
    <row r="81" customHeight="1" spans="3:6">
      <c r="D81" s="2"/>
    </row>
    <row r="82" customHeight="1" spans="3:6">
      <c r="D82" s="2"/>
    </row>
    <row r="83" customHeight="1" spans="3:6">
      <c r="D83" s="2"/>
    </row>
    <row r="84" customHeight="1" spans="3:6">
      <c r="D84" s="2"/>
    </row>
    <row r="85" customHeight="1" spans="3:6">
      <c r="D85" s="2"/>
    </row>
    <row r="86" customHeight="1" spans="3:6">
      <c r="D86" s="2"/>
    </row>
    <row r="87" customHeight="1" spans="3:6">
      <c r="D87" s="2"/>
    </row>
    <row r="88" customHeight="1" spans="3:6">
      <c r="C88"/>
      <c r="D88"/>
      <c r="E88"/>
      <c r="F88"/>
    </row>
    <row r="89" customHeight="1" spans="3:6">
      <c r="C89"/>
      <c r="D89"/>
      <c r="E89"/>
      <c r="F89"/>
    </row>
    <row r="90" customHeight="1" spans="3:6">
      <c r="C90"/>
      <c r="D90"/>
      <c r="E90"/>
      <c r="F90"/>
    </row>
    <row r="91" customHeight="1" spans="3:6">
      <c r="C91"/>
      <c r="D91"/>
      <c r="E91"/>
      <c r="F91"/>
    </row>
    <row r="92" customHeight="1" spans="3:6">
      <c r="C92"/>
      <c r="D92"/>
      <c r="E92"/>
      <c r="F92"/>
    </row>
    <row r="93" customHeight="1" spans="3:6">
      <c r="C93"/>
      <c r="D93"/>
      <c r="E93"/>
      <c r="F93"/>
    </row>
    <row r="94" customHeight="1" spans="3:6">
      <c r="C94"/>
      <c r="D94"/>
      <c r="E94"/>
      <c r="F94"/>
    </row>
    <row r="95" customHeight="1" spans="3:6">
      <c r="C95"/>
      <c r="D95"/>
      <c r="E95"/>
      <c r="F95"/>
    </row>
    <row r="96" customHeight="1" spans="3:6">
      <c r="C96"/>
      <c r="D96"/>
      <c r="E96"/>
      <c r="F96"/>
    </row>
    <row r="97" customHeight="1" spans="3:6">
      <c r="C97"/>
      <c r="D97"/>
      <c r="E97"/>
      <c r="F97"/>
    </row>
    <row r="98" customHeight="1" spans="3:6">
      <c r="C98"/>
      <c r="D98"/>
      <c r="E98"/>
      <c r="F98"/>
    </row>
    <row r="99" customHeight="1" spans="3:6">
      <c r="C99"/>
      <c r="D99"/>
      <c r="E99"/>
      <c r="F99"/>
    </row>
    <row r="100" customHeight="1" spans="3:6">
      <c r="C100"/>
      <c r="D100"/>
      <c r="E100"/>
      <c r="F100"/>
    </row>
    <row r="101" customHeight="1" spans="3:6">
      <c r="C101"/>
      <c r="D101"/>
      <c r="E101"/>
      <c r="F101"/>
    </row>
    <row r="102" customHeight="1" spans="3:6">
      <c r="C102"/>
      <c r="D102"/>
      <c r="E102"/>
      <c r="F102"/>
    </row>
    <row r="103" customHeight="1" spans="3:6">
      <c r="C103"/>
      <c r="D103"/>
      <c r="E103"/>
      <c r="F103"/>
    </row>
    <row r="104" customHeight="1" spans="3:6">
      <c r="C104"/>
      <c r="D104"/>
      <c r="E104"/>
      <c r="F104"/>
    </row>
    <row r="105" customHeight="1" spans="3:6">
      <c r="C105"/>
      <c r="D105"/>
      <c r="E105"/>
      <c r="F105"/>
    </row>
    <row r="106" customHeight="1" spans="3:6">
      <c r="C106"/>
      <c r="D106"/>
      <c r="E106"/>
      <c r="F106"/>
    </row>
    <row r="107" customHeight="1" spans="3:6">
      <c r="C107"/>
      <c r="D107"/>
      <c r="E107"/>
      <c r="F107"/>
    </row>
    <row r="108" customHeight="1" spans="3:6">
      <c r="C108"/>
      <c r="D108"/>
      <c r="E108"/>
      <c r="F108"/>
    </row>
    <row r="109" customHeight="1" spans="3:6">
      <c r="C109"/>
      <c r="D109"/>
      <c r="E109"/>
      <c r="F109"/>
    </row>
    <row r="110" customHeight="1" spans="3:6">
      <c r="C110"/>
      <c r="D110"/>
      <c r="E110"/>
      <c r="F110"/>
    </row>
    <row r="111" customHeight="1" spans="3:6">
      <c r="C111"/>
      <c r="D111"/>
      <c r="E111"/>
      <c r="F111"/>
    </row>
    <row r="112" customHeight="1" spans="3:6">
      <c r="C112"/>
      <c r="D112"/>
      <c r="E112"/>
      <c r="F112"/>
    </row>
    <row r="113" customHeight="1" spans="3:6">
      <c r="C113"/>
      <c r="D113"/>
      <c r="E113"/>
      <c r="F113"/>
    </row>
    <row r="114" customHeight="1" spans="3:6">
      <c r="C114"/>
      <c r="D114"/>
      <c r="E114"/>
      <c r="F114"/>
    </row>
    <row r="115" customHeight="1" spans="3:6">
      <c r="C115"/>
      <c r="D115"/>
      <c r="E115"/>
      <c r="F115"/>
    </row>
    <row r="116" customHeight="1" spans="3:6">
      <c r="C116"/>
      <c r="D116"/>
      <c r="E116"/>
      <c r="F116"/>
    </row>
    <row r="117" customHeight="1" spans="3:6">
      <c r="C117"/>
      <c r="D117"/>
      <c r="E117"/>
      <c r="F117"/>
    </row>
    <row r="118" customHeight="1" spans="3:6">
      <c r="C118"/>
      <c r="D118"/>
      <c r="E118"/>
      <c r="F118"/>
    </row>
    <row r="119" customHeight="1" spans="3:6">
      <c r="C119"/>
      <c r="D119"/>
      <c r="E119"/>
      <c r="F119"/>
    </row>
    <row r="120" customHeight="1" spans="3:6">
      <c r="C120"/>
      <c r="D120"/>
      <c r="E120"/>
      <c r="F120"/>
    </row>
    <row r="121" customHeight="1" spans="3:6">
      <c r="C121"/>
      <c r="D121"/>
      <c r="E121"/>
      <c r="F121"/>
    </row>
    <row r="122" customHeight="1" spans="3:6">
      <c r="C122"/>
      <c r="D122"/>
      <c r="E122"/>
      <c r="F122"/>
    </row>
    <row r="123" customHeight="1" spans="3:6">
      <c r="C123"/>
      <c r="D123"/>
      <c r="E123"/>
      <c r="F123"/>
    </row>
    <row r="124" customHeight="1" spans="3:6">
      <c r="C124"/>
      <c r="D124"/>
      <c r="E124"/>
      <c r="F124"/>
    </row>
    <row r="125" customHeight="1" spans="3:6">
      <c r="C125"/>
      <c r="D125"/>
      <c r="E125"/>
      <c r="F125"/>
    </row>
    <row r="126" customHeight="1" spans="3:6">
      <c r="C126"/>
      <c r="D126"/>
      <c r="E126"/>
      <c r="F126"/>
    </row>
    <row r="127" customHeight="1" spans="3:6">
      <c r="C127"/>
      <c r="D127"/>
      <c r="E127"/>
      <c r="F127"/>
    </row>
    <row r="128" customHeight="1" spans="3:6">
      <c r="C128"/>
      <c r="D128"/>
      <c r="E128"/>
      <c r="F128"/>
    </row>
    <row r="129" customHeight="1" spans="3:6">
      <c r="C129"/>
      <c r="D129"/>
      <c r="E129"/>
      <c r="F129"/>
    </row>
    <row r="130" customHeight="1" spans="3:6">
      <c r="C130"/>
      <c r="D130"/>
      <c r="E130"/>
      <c r="F130"/>
    </row>
    <row r="131" customHeight="1" spans="3:6">
      <c r="C131"/>
      <c r="D131"/>
      <c r="E131"/>
      <c r="F131"/>
    </row>
    <row r="132" customHeight="1" spans="3:6">
      <c r="C132"/>
      <c r="D132"/>
      <c r="E132"/>
      <c r="F132"/>
    </row>
    <row r="133" customHeight="1" spans="3:6">
      <c r="C133"/>
      <c r="D133"/>
      <c r="E133"/>
      <c r="F133"/>
    </row>
    <row r="134" customHeight="1" spans="3:6">
      <c r="C134"/>
      <c r="D134"/>
      <c r="E134"/>
      <c r="F134"/>
    </row>
    <row r="135" customHeight="1" spans="3:6">
      <c r="C135"/>
      <c r="D135"/>
      <c r="E135"/>
      <c r="F135"/>
    </row>
    <row r="136" customHeight="1" spans="3:6">
      <c r="C136"/>
      <c r="D136"/>
      <c r="E136"/>
      <c r="F136"/>
    </row>
    <row r="137" customHeight="1" spans="3:6">
      <c r="C137"/>
      <c r="D137"/>
      <c r="E137"/>
      <c r="F137"/>
    </row>
    <row r="138" customHeight="1" spans="3:6">
      <c r="C138"/>
      <c r="D138"/>
      <c r="E138"/>
      <c r="F138"/>
    </row>
    <row r="139" customHeight="1" spans="3:6">
      <c r="C139"/>
      <c r="D139"/>
      <c r="E139"/>
      <c r="F139"/>
    </row>
    <row r="140" customHeight="1" spans="3:6">
      <c r="C140"/>
      <c r="D140"/>
      <c r="E140"/>
      <c r="F140"/>
    </row>
    <row r="141" customHeight="1" spans="3:6">
      <c r="C141"/>
      <c r="D141"/>
      <c r="E141"/>
      <c r="F141"/>
    </row>
    <row r="142" customHeight="1" spans="3:6">
      <c r="C142"/>
      <c r="D142"/>
      <c r="E142"/>
      <c r="F142"/>
    </row>
    <row r="143" customHeight="1" spans="3:6">
      <c r="C143"/>
      <c r="D143"/>
      <c r="E143"/>
      <c r="F143"/>
    </row>
    <row r="144" customHeight="1" spans="3:6">
      <c r="C144"/>
      <c r="D144"/>
      <c r="E144"/>
      <c r="F144"/>
    </row>
    <row r="145" customHeight="1" spans="3:6">
      <c r="C145"/>
      <c r="D145"/>
      <c r="E145"/>
      <c r="F145"/>
    </row>
    <row r="146" customHeight="1" spans="3:6">
      <c r="C146"/>
      <c r="D146"/>
      <c r="E146"/>
      <c r="F146"/>
    </row>
    <row r="147" customHeight="1" spans="3:6">
      <c r="C147"/>
      <c r="D147"/>
      <c r="E147"/>
      <c r="F147"/>
    </row>
    <row r="148" customHeight="1" spans="3:6">
      <c r="C148"/>
      <c r="D148"/>
      <c r="E148"/>
      <c r="F148"/>
    </row>
    <row r="149" customHeight="1" spans="3:6">
      <c r="C149"/>
      <c r="D149"/>
      <c r="E149"/>
      <c r="F149"/>
    </row>
    <row r="150" customHeight="1" spans="3:6">
      <c r="C150"/>
      <c r="D150"/>
      <c r="E150"/>
      <c r="F150"/>
    </row>
    <row r="151" customHeight="1" spans="3:6">
      <c r="C151"/>
      <c r="D151"/>
      <c r="E151"/>
      <c r="F151"/>
    </row>
    <row r="152" customHeight="1" spans="3:6">
      <c r="C152"/>
      <c r="D152"/>
      <c r="E152"/>
      <c r="F152"/>
    </row>
    <row r="153" customHeight="1" spans="3:6">
      <c r="C153"/>
      <c r="D153"/>
      <c r="E153"/>
      <c r="F153"/>
    </row>
    <row r="154" customHeight="1" spans="3:6">
      <c r="C154"/>
      <c r="D154"/>
      <c r="E154"/>
      <c r="F154"/>
    </row>
    <row r="155" customHeight="1" spans="3:6">
      <c r="C155"/>
      <c r="D155"/>
      <c r="E155"/>
      <c r="F155"/>
    </row>
    <row r="156" customHeight="1" spans="3:6">
      <c r="C156"/>
      <c r="D156"/>
      <c r="E156"/>
      <c r="F156"/>
    </row>
    <row r="157" customHeight="1" spans="3:6">
      <c r="C157"/>
      <c r="D157"/>
      <c r="E157"/>
      <c r="F157"/>
    </row>
    <row r="158" customHeight="1" spans="3:6">
      <c r="C158"/>
      <c r="D158"/>
      <c r="E158"/>
      <c r="F158"/>
    </row>
    <row r="159" customHeight="1" spans="3:6">
      <c r="C159"/>
      <c r="D159"/>
      <c r="E159"/>
      <c r="F159"/>
    </row>
    <row r="160" customHeight="1" spans="3:6">
      <c r="C160"/>
      <c r="D160"/>
      <c r="E160"/>
      <c r="F160"/>
    </row>
    <row r="161" customHeight="1" spans="3:6">
      <c r="C161"/>
      <c r="D161"/>
      <c r="E161"/>
      <c r="F161"/>
    </row>
    <row r="162" customHeight="1" spans="3:6">
      <c r="C162"/>
      <c r="D162"/>
      <c r="E162"/>
      <c r="F162"/>
    </row>
    <row r="163" customHeight="1" spans="3:6">
      <c r="C163"/>
      <c r="D163"/>
      <c r="E163"/>
      <c r="F163"/>
    </row>
    <row r="164" customHeight="1" spans="3:6">
      <c r="C164"/>
      <c r="D164"/>
      <c r="E164"/>
      <c r="F164"/>
    </row>
    <row r="165" customHeight="1" spans="3:6">
      <c r="C165"/>
      <c r="D165"/>
      <c r="E165"/>
      <c r="F165"/>
    </row>
    <row r="166" customHeight="1" spans="3:6">
      <c r="C166"/>
      <c r="D166"/>
      <c r="E166"/>
      <c r="F166"/>
    </row>
    <row r="167" customHeight="1" spans="3:6">
      <c r="C167"/>
      <c r="D167"/>
      <c r="E167"/>
      <c r="F167"/>
    </row>
    <row r="168" customHeight="1" spans="3:6">
      <c r="C168"/>
      <c r="D168"/>
      <c r="E168"/>
      <c r="F168"/>
    </row>
    <row r="169" customHeight="1" spans="3:6">
      <c r="C169"/>
      <c r="D169"/>
      <c r="E169"/>
      <c r="F169"/>
    </row>
    <row r="170" customHeight="1" spans="3:6">
      <c r="C170"/>
      <c r="D170"/>
      <c r="E170"/>
      <c r="F170"/>
    </row>
    <row r="171" customHeight="1" spans="3:6">
      <c r="C171"/>
      <c r="D171"/>
      <c r="E171"/>
      <c r="F171"/>
    </row>
    <row r="172" customHeight="1" spans="3:6">
      <c r="C172"/>
      <c r="D172"/>
      <c r="E172"/>
      <c r="F172"/>
    </row>
    <row r="173" customHeight="1" spans="3:6">
      <c r="C173"/>
      <c r="D173"/>
      <c r="E173"/>
      <c r="F173"/>
    </row>
    <row r="174" customHeight="1" spans="3:6">
      <c r="C174"/>
      <c r="D174"/>
      <c r="E174"/>
      <c r="F174"/>
    </row>
    <row r="175" customHeight="1" spans="3:6">
      <c r="C175"/>
      <c r="D175"/>
      <c r="E175"/>
      <c r="F175"/>
    </row>
    <row r="176" customHeight="1" spans="3:6">
      <c r="C176"/>
      <c r="D176"/>
      <c r="E176"/>
      <c r="F176"/>
    </row>
    <row r="177" customHeight="1" spans="3:6">
      <c r="C177"/>
      <c r="D177"/>
      <c r="E177"/>
      <c r="F177"/>
    </row>
    <row r="178" customHeight="1" spans="3:6">
      <c r="C178"/>
      <c r="D178"/>
      <c r="E178"/>
      <c r="F178"/>
    </row>
    <row r="179" customHeight="1" spans="3:6">
      <c r="C179"/>
      <c r="D179"/>
      <c r="E179"/>
      <c r="F179"/>
    </row>
    <row r="180" customHeight="1" spans="3:6">
      <c r="C180"/>
      <c r="D180"/>
      <c r="E180"/>
      <c r="F180"/>
    </row>
    <row r="181" customHeight="1" spans="3:6">
      <c r="C181"/>
      <c r="D181"/>
      <c r="E181"/>
      <c r="F181"/>
    </row>
    <row r="182" customHeight="1" spans="3:6">
      <c r="C182"/>
      <c r="D182"/>
      <c r="E182"/>
      <c r="F182"/>
    </row>
    <row r="183" customHeight="1" spans="3:6">
      <c r="C183"/>
      <c r="D183"/>
      <c r="E183"/>
      <c r="F183"/>
    </row>
    <row r="184" customHeight="1" spans="3:6">
      <c r="C184"/>
      <c r="D184"/>
      <c r="E184"/>
      <c r="F184"/>
    </row>
    <row r="185" customHeight="1" spans="3:6">
      <c r="C185"/>
      <c r="D185"/>
      <c r="E185"/>
      <c r="F185"/>
    </row>
    <row r="186" customHeight="1" spans="3:6">
      <c r="C186"/>
      <c r="D186"/>
      <c r="E186"/>
      <c r="F186"/>
    </row>
    <row r="187" customHeight="1" spans="3:6">
      <c r="C187"/>
      <c r="D187"/>
      <c r="E187"/>
      <c r="F187"/>
    </row>
    <row r="188" customHeight="1" spans="3:6">
      <c r="C188"/>
      <c r="D188"/>
      <c r="E188"/>
      <c r="F188"/>
    </row>
    <row r="189" customHeight="1" spans="3:6">
      <c r="C189"/>
      <c r="D189"/>
      <c r="E189"/>
      <c r="F189"/>
    </row>
    <row r="190" customHeight="1" spans="3:6">
      <c r="C190"/>
      <c r="D190"/>
      <c r="E190"/>
      <c r="F190"/>
    </row>
    <row r="191" customHeight="1" spans="3:6">
      <c r="C191"/>
      <c r="D191"/>
      <c r="E191"/>
      <c r="F191"/>
    </row>
    <row r="192" customHeight="1" spans="3:6">
      <c r="C192"/>
      <c r="D192"/>
      <c r="E192"/>
      <c r="F192"/>
    </row>
    <row r="193" customHeight="1" spans="3:6">
      <c r="C193"/>
      <c r="D193"/>
      <c r="E193"/>
      <c r="F193"/>
    </row>
    <row r="194" customHeight="1" spans="3:6">
      <c r="C194"/>
      <c r="D194"/>
      <c r="E194"/>
      <c r="F194"/>
    </row>
    <row r="195" customHeight="1" spans="3:6">
      <c r="C195"/>
      <c r="D195"/>
      <c r="E195"/>
    </row>
    <row r="196" customHeight="1" spans="3:6">
      <c r="C196"/>
      <c r="D196"/>
      <c r="E196"/>
    </row>
    <row r="197" customHeight="1" spans="3:6">
      <c r="C197"/>
      <c r="D197"/>
      <c r="E197"/>
    </row>
    <row r="198" customHeight="1" spans="3:6">
      <c r="C198"/>
      <c r="D198"/>
      <c r="E198"/>
    </row>
    <row r="199" customHeight="1" spans="3:6">
      <c r="C199"/>
      <c r="D199"/>
      <c r="E199"/>
    </row>
    <row r="200" customHeight="1" spans="3:6">
      <c r="C200"/>
      <c r="D200"/>
      <c r="E200"/>
    </row>
    <row r="201" customHeight="1" spans="3:6">
      <c r="C201"/>
      <c r="D201"/>
      <c r="E201"/>
    </row>
    <row r="202" customHeight="1" spans="3:6">
      <c r="C202"/>
      <c r="D202"/>
      <c r="E202"/>
    </row>
    <row r="203" customHeight="1" spans="3:6">
      <c r="C203"/>
      <c r="D203"/>
      <c r="E203"/>
    </row>
    <row r="204" customHeight="1" spans="3:6">
      <c r="C204"/>
      <c r="D204"/>
      <c r="E204"/>
    </row>
    <row r="205" customHeight="1" spans="3:6">
      <c r="C205"/>
      <c r="D205"/>
      <c r="E205"/>
    </row>
    <row r="206" customHeight="1" spans="3:6">
      <c r="C206"/>
      <c r="D206"/>
      <c r="E206"/>
    </row>
    <row r="207" customHeight="1" spans="3:6">
      <c r="C207"/>
      <c r="D207"/>
      <c r="E207"/>
    </row>
    <row r="208" customHeight="1" spans="3:6">
      <c r="C208"/>
      <c r="D208"/>
      <c r="E208"/>
    </row>
    <row r="209" customHeight="1" spans="3:5">
      <c r="C209"/>
      <c r="D209"/>
      <c r="E209"/>
    </row>
    <row r="210" customHeight="1" spans="3:5">
      <c r="C210"/>
      <c r="D210"/>
      <c r="E210"/>
    </row>
    <row r="211" customHeight="1" spans="3:5">
      <c r="C211"/>
      <c r="D211"/>
      <c r="E211"/>
    </row>
    <row r="212" customHeight="1" spans="3:5">
      <c r="C212"/>
      <c r="D212"/>
      <c r="E212"/>
    </row>
    <row r="213" customHeight="1" spans="3:5">
      <c r="C213"/>
      <c r="D213"/>
      <c r="E213"/>
    </row>
    <row r="214" customHeight="1" spans="3:5">
      <c r="C214"/>
      <c r="D214"/>
      <c r="E214"/>
    </row>
    <row r="215" customHeight="1" spans="3:5">
      <c r="C215"/>
      <c r="D215"/>
      <c r="E215"/>
    </row>
    <row r="216" customHeight="1" spans="3:5">
      <c r="C216"/>
      <c r="D216"/>
      <c r="E216"/>
    </row>
    <row r="217" customHeight="1" spans="3:5">
      <c r="C217"/>
      <c r="D217"/>
      <c r="E217"/>
    </row>
    <row r="218" customHeight="1" spans="3:5">
      <c r="C218"/>
      <c r="D218"/>
      <c r="E218"/>
    </row>
    <row r="219" customHeight="1" spans="3:5">
      <c r="C219"/>
      <c r="D219"/>
      <c r="E219"/>
    </row>
    <row r="220" customHeight="1" spans="3:5">
      <c r="C220"/>
      <c r="D220"/>
      <c r="E220"/>
    </row>
    <row r="221" customHeight="1" spans="3:5">
      <c r="C221"/>
      <c r="D221"/>
      <c r="E221"/>
    </row>
    <row r="222" customHeight="1" spans="3:5">
      <c r="C222"/>
      <c r="D222"/>
      <c r="E222"/>
    </row>
    <row r="223" customHeight="1" spans="3:5">
      <c r="C223"/>
      <c r="D223"/>
      <c r="E223"/>
    </row>
    <row r="224" customHeight="1" spans="3:5">
      <c r="C224"/>
      <c r="D224"/>
      <c r="E224"/>
    </row>
    <row r="225" customHeight="1" spans="3:5">
      <c r="C225"/>
      <c r="D225"/>
      <c r="E225"/>
    </row>
    <row r="226" customHeight="1" spans="3:5">
      <c r="C226"/>
      <c r="D226"/>
      <c r="E226"/>
    </row>
    <row r="227" customHeight="1" spans="3:5">
      <c r="C227"/>
      <c r="D227"/>
      <c r="E227"/>
    </row>
    <row r="228" customHeight="1" spans="3:5">
      <c r="C228"/>
      <c r="D228"/>
      <c r="E228"/>
    </row>
    <row r="229" customHeight="1" spans="3:5">
      <c r="C229"/>
      <c r="D229"/>
      <c r="E229"/>
    </row>
    <row r="230" customHeight="1" spans="3:5">
      <c r="C230"/>
      <c r="D230"/>
      <c r="E230"/>
    </row>
    <row r="231" customHeight="1" spans="3:5">
      <c r="C231"/>
      <c r="D231"/>
      <c r="E231"/>
    </row>
    <row r="232" customHeight="1" spans="3:5">
      <c r="C232"/>
      <c r="D232"/>
      <c r="E232"/>
    </row>
    <row r="233" customHeight="1" spans="3:5">
      <c r="C233"/>
      <c r="D233"/>
      <c r="E233"/>
    </row>
    <row r="234" customHeight="1" spans="3:5">
      <c r="C234"/>
      <c r="D234"/>
      <c r="E234"/>
    </row>
    <row r="235" customHeight="1" spans="3:5">
      <c r="C235"/>
      <c r="D235"/>
      <c r="E235"/>
    </row>
    <row r="236" customHeight="1" spans="3:5">
      <c r="C236"/>
      <c r="D236"/>
      <c r="E236"/>
    </row>
    <row r="237" customHeight="1" spans="3:5">
      <c r="C237"/>
      <c r="D237"/>
      <c r="E237"/>
    </row>
    <row r="238" customHeight="1" spans="3:5">
      <c r="C238"/>
      <c r="D238"/>
      <c r="E238"/>
    </row>
    <row r="239" customHeight="1" spans="3:5">
      <c r="C239"/>
      <c r="D239"/>
      <c r="E239"/>
    </row>
    <row r="240" customHeight="1" spans="3:5">
      <c r="C240"/>
      <c r="D240"/>
      <c r="E240"/>
    </row>
    <row r="241" customHeight="1" spans="3:5">
      <c r="C241"/>
      <c r="D241"/>
      <c r="E241"/>
    </row>
    <row r="242" customHeight="1" spans="3:5">
      <c r="C242"/>
      <c r="D242"/>
      <c r="E242"/>
    </row>
    <row r="243" customHeight="1" spans="3:5">
      <c r="C243"/>
      <c r="D243"/>
      <c r="E243"/>
    </row>
    <row r="244" customHeight="1" spans="3:5">
      <c r="C244"/>
      <c r="D244"/>
      <c r="E244"/>
    </row>
    <row r="245" customHeight="1" spans="3:5">
      <c r="C245"/>
      <c r="D245"/>
      <c r="E245"/>
    </row>
    <row r="246" customHeight="1" spans="3:5">
      <c r="C246"/>
      <c r="D246"/>
      <c r="E246"/>
    </row>
    <row r="247" customHeight="1" spans="3:5">
      <c r="C247"/>
      <c r="D247"/>
      <c r="E247"/>
    </row>
    <row r="248" customHeight="1" spans="3:5">
      <c r="C248"/>
      <c r="D248"/>
      <c r="E248"/>
    </row>
    <row r="249" customHeight="1" spans="3:5">
      <c r="C249"/>
      <c r="D249"/>
      <c r="E249"/>
    </row>
    <row r="250" customHeight="1" spans="3:5">
      <c r="C250"/>
      <c r="D250"/>
      <c r="E250"/>
    </row>
    <row r="251" customHeight="1" spans="3:5">
      <c r="C251"/>
      <c r="D251"/>
      <c r="E251"/>
    </row>
    <row r="252" customHeight="1" spans="3:5">
      <c r="C252"/>
      <c r="D252"/>
      <c r="E252"/>
    </row>
    <row r="253" customHeight="1" spans="3:5">
      <c r="C253"/>
      <c r="D253"/>
      <c r="E253"/>
    </row>
    <row r="254" customHeight="1" spans="3:5">
      <c r="C254"/>
      <c r="D254"/>
      <c r="E254"/>
    </row>
    <row r="255" customHeight="1" spans="3:5">
      <c r="C255"/>
      <c r="D255"/>
      <c r="E255"/>
    </row>
    <row r="256" customHeight="1" spans="3:5">
      <c r="C256"/>
      <c r="D256"/>
      <c r="E256"/>
    </row>
    <row r="257" customHeight="1" spans="3:5">
      <c r="C257"/>
      <c r="D257"/>
      <c r="E257"/>
    </row>
    <row r="258" customHeight="1" spans="3:5">
      <c r="C258"/>
      <c r="D258"/>
      <c r="E258"/>
    </row>
    <row r="259" customHeight="1" spans="3:5">
      <c r="C259"/>
      <c r="D259"/>
      <c r="E259"/>
    </row>
    <row r="260" customHeight="1" spans="3:5">
      <c r="C260"/>
      <c r="D260"/>
      <c r="E260"/>
    </row>
    <row r="261" customHeight="1" spans="3:5">
      <c r="C261"/>
      <c r="D261"/>
      <c r="E261"/>
    </row>
    <row r="262" customHeight="1" spans="3:5">
      <c r="C262"/>
      <c r="D262"/>
      <c r="E262"/>
    </row>
    <row r="263" customHeight="1" spans="3:5">
      <c r="C263"/>
      <c r="D263"/>
      <c r="E263"/>
    </row>
    <row r="264" customHeight="1" spans="3:5">
      <c r="C264"/>
      <c r="D264"/>
      <c r="E264"/>
    </row>
    <row r="265" customHeight="1" spans="3:5">
      <c r="C265"/>
      <c r="D265"/>
      <c r="E265"/>
    </row>
    <row r="266" customHeight="1" spans="3:5">
      <c r="C266"/>
      <c r="D266"/>
      <c r="E266"/>
    </row>
    <row r="267" customHeight="1" spans="3:5">
      <c r="C267"/>
      <c r="D267"/>
      <c r="E267"/>
    </row>
    <row r="268" customHeight="1" spans="3:5">
      <c r="C268"/>
      <c r="D268"/>
      <c r="E268"/>
    </row>
    <row r="269" customHeight="1" spans="3:5">
      <c r="C269"/>
      <c r="D269"/>
      <c r="E269"/>
    </row>
    <row r="270" customHeight="1" spans="3:5">
      <c r="C270"/>
      <c r="D270"/>
      <c r="E270"/>
    </row>
    <row r="271" customHeight="1" spans="3:5">
      <c r="C271"/>
      <c r="D271"/>
      <c r="E271"/>
    </row>
    <row r="272" customHeight="1" spans="3:5">
      <c r="C272"/>
      <c r="D272"/>
      <c r="E272"/>
    </row>
    <row r="273" customHeight="1" spans="3:5">
      <c r="C273"/>
      <c r="D273"/>
      <c r="E273"/>
    </row>
    <row r="274" customHeight="1" spans="3:5">
      <c r="C274"/>
      <c r="D274"/>
      <c r="E274"/>
    </row>
    <row r="275" customHeight="1" spans="3:5">
      <c r="C275"/>
      <c r="D275"/>
      <c r="E275"/>
    </row>
    <row r="276" customHeight="1" spans="3:5">
      <c r="C276"/>
      <c r="D276"/>
      <c r="E276"/>
    </row>
    <row r="277" customHeight="1" spans="3:5">
      <c r="C277"/>
      <c r="D277"/>
      <c r="E277"/>
    </row>
    <row r="278" customHeight="1" spans="3:5">
      <c r="C278"/>
      <c r="D278"/>
      <c r="E278"/>
    </row>
    <row r="279" customHeight="1" spans="3:5">
      <c r="C279"/>
      <c r="D279"/>
      <c r="E279"/>
    </row>
    <row r="280" customHeight="1" spans="3:5">
      <c r="C280"/>
      <c r="D280"/>
      <c r="E280"/>
    </row>
    <row r="281" customHeight="1" spans="3:5">
      <c r="C281"/>
      <c r="D281"/>
      <c r="E281"/>
    </row>
    <row r="282" customHeight="1" spans="3:5">
      <c r="C282"/>
      <c r="D282"/>
      <c r="E282"/>
    </row>
    <row r="283" customHeight="1" spans="3:5">
      <c r="C283"/>
      <c r="D283"/>
      <c r="E283"/>
    </row>
    <row r="284" customHeight="1" spans="3:5">
      <c r="C284"/>
      <c r="D284"/>
      <c r="E284"/>
    </row>
    <row r="285" customHeight="1" spans="3:5">
      <c r="C285"/>
      <c r="D285"/>
      <c r="E285"/>
    </row>
    <row r="286" customHeight="1" spans="3:5">
      <c r="C286"/>
      <c r="D286"/>
      <c r="E286"/>
    </row>
    <row r="287" customHeight="1" spans="3:5">
      <c r="C287"/>
      <c r="D287"/>
      <c r="E287"/>
    </row>
    <row r="288" customHeight="1" spans="3:5">
      <c r="C288"/>
      <c r="D288"/>
      <c r="E288"/>
    </row>
    <row r="289" customHeight="1" spans="3:5">
      <c r="C289"/>
      <c r="D289"/>
      <c r="E289"/>
    </row>
    <row r="290" customHeight="1" spans="3:5">
      <c r="C290"/>
      <c r="D290"/>
      <c r="E290"/>
    </row>
    <row r="291" customHeight="1" spans="3:5">
      <c r="C291"/>
      <c r="D291"/>
      <c r="E291"/>
    </row>
    <row r="292" customHeight="1" spans="3:5">
      <c r="C292"/>
      <c r="D292"/>
      <c r="E292"/>
    </row>
    <row r="293" customHeight="1" spans="3:5">
      <c r="C293"/>
      <c r="D293"/>
      <c r="E293"/>
    </row>
    <row r="294" customHeight="1" spans="3:5">
      <c r="C294"/>
      <c r="D294"/>
      <c r="E294"/>
    </row>
    <row r="295" customHeight="1" spans="3:5">
      <c r="C295"/>
      <c r="D295"/>
      <c r="E295"/>
    </row>
    <row r="296" customHeight="1" spans="3:5">
      <c r="C296"/>
      <c r="D296"/>
      <c r="E296"/>
    </row>
    <row r="297" customHeight="1" spans="3:5">
      <c r="C297"/>
      <c r="D297"/>
      <c r="E297"/>
    </row>
    <row r="298" customHeight="1" spans="3:5">
      <c r="C298"/>
      <c r="D298"/>
      <c r="E298"/>
    </row>
    <row r="299" customHeight="1" spans="3:5">
      <c r="C299"/>
      <c r="D299"/>
      <c r="E299"/>
    </row>
    <row r="300" customHeight="1" spans="3:5">
      <c r="C300"/>
      <c r="D300"/>
      <c r="E300"/>
    </row>
    <row r="301" customHeight="1" spans="3:5">
      <c r="C301"/>
      <c r="D301"/>
      <c r="E301"/>
    </row>
    <row r="302" customHeight="1" spans="3:5">
      <c r="C302"/>
      <c r="D302"/>
    </row>
    <row r="303" customHeight="1" spans="3:5">
      <c r="C303"/>
      <c r="D303"/>
    </row>
    <row r="304" customHeight="1" spans="3:5">
      <c r="C304"/>
      <c r="D304"/>
    </row>
    <row r="305" customHeight="1" spans="3:4">
      <c r="C305"/>
      <c r="D305"/>
    </row>
    <row r="306" customHeight="1" spans="3:4">
      <c r="C306"/>
      <c r="D306"/>
    </row>
    <row r="307" customHeight="1" spans="3:4">
      <c r="C307"/>
      <c r="D307"/>
    </row>
    <row r="308" customHeight="1" spans="3:4">
      <c r="C308"/>
      <c r="D308"/>
    </row>
    <row r="309" customHeight="1" spans="3:4">
      <c r="C309"/>
      <c r="D309"/>
    </row>
    <row r="310" customHeight="1" spans="3:4">
      <c r="C310"/>
      <c r="D310"/>
    </row>
    <row r="311" customHeight="1" spans="3:4">
      <c r="C311"/>
      <c r="D311"/>
    </row>
    <row r="312" customHeight="1" spans="3:4">
      <c r="C312"/>
      <c r="D312"/>
    </row>
    <row r="313" customHeight="1" spans="3:4">
      <c r="C313"/>
      <c r="D313"/>
    </row>
    <row r="314" customHeight="1" spans="3:4">
      <c r="C314"/>
      <c r="D314"/>
    </row>
    <row r="315" customHeight="1" spans="3:4">
      <c r="C315"/>
      <c r="D315"/>
    </row>
    <row r="316" customHeight="1" spans="3:4">
      <c r="C316"/>
      <c r="D316"/>
    </row>
    <row r="317" customHeight="1" spans="3:4">
      <c r="C317"/>
      <c r="D317"/>
    </row>
    <row r="318" customHeight="1" spans="3:4">
      <c r="C318"/>
      <c r="D318"/>
    </row>
    <row r="319" customHeight="1" spans="3:4">
      <c r="C319"/>
      <c r="D319"/>
    </row>
    <row r="320" customHeight="1" spans="3:4">
      <c r="C320"/>
      <c r="D320"/>
    </row>
    <row r="321" customHeight="1" spans="3:4">
      <c r="C321"/>
      <c r="D321"/>
    </row>
    <row r="322" customHeight="1" spans="3:4">
      <c r="C322"/>
      <c r="D322"/>
    </row>
    <row r="323" customHeight="1" spans="3:4">
      <c r="C323"/>
      <c r="D323"/>
    </row>
    <row r="324" customHeight="1" spans="3:4">
      <c r="C324"/>
      <c r="D324"/>
    </row>
    <row r="325" customHeight="1" spans="3:4">
      <c r="C325"/>
      <c r="D325"/>
    </row>
    <row r="326" customHeight="1" spans="3:4">
      <c r="C326"/>
      <c r="D326"/>
    </row>
    <row r="327" customHeight="1" spans="3:4">
      <c r="C327"/>
      <c r="D327"/>
    </row>
    <row r="328" customHeight="1" spans="3:4">
      <c r="C328"/>
      <c r="D328"/>
    </row>
    <row r="329" customHeight="1" spans="3:4">
      <c r="C329"/>
      <c r="D329"/>
    </row>
    <row r="330" customHeight="1" spans="3:4">
      <c r="C330"/>
      <c r="D330"/>
    </row>
    <row r="331" customHeight="1" spans="3:4">
      <c r="C331"/>
      <c r="D331"/>
    </row>
    <row r="332" customHeight="1" spans="3:4">
      <c r="C332"/>
      <c r="D332"/>
    </row>
    <row r="333" customHeight="1" spans="3:4">
      <c r="C333"/>
      <c r="D333"/>
    </row>
    <row r="334" customHeight="1" spans="3:4">
      <c r="C334"/>
      <c r="D334"/>
    </row>
    <row r="335" customHeight="1" spans="3:4">
      <c r="C335"/>
      <c r="D335"/>
    </row>
    <row r="336" customHeight="1" spans="3:4">
      <c r="C336"/>
      <c r="D336"/>
    </row>
    <row r="337" customHeight="1" spans="3:4">
      <c r="C337"/>
      <c r="D337"/>
    </row>
    <row r="338" customHeight="1" spans="3:4">
      <c r="C338"/>
      <c r="D338"/>
    </row>
    <row r="339" customHeight="1" spans="3:4">
      <c r="C339"/>
      <c r="D339"/>
    </row>
    <row r="340" customHeight="1" spans="3:4">
      <c r="C340"/>
      <c r="D340"/>
    </row>
    <row r="341" customHeight="1" spans="3:4">
      <c r="C341"/>
      <c r="D341"/>
    </row>
    <row r="342" customHeight="1" spans="3:4">
      <c r="C342"/>
      <c r="D342"/>
    </row>
    <row r="343" customHeight="1" spans="3:4">
      <c r="C343"/>
      <c r="D343"/>
    </row>
    <row r="344" customHeight="1" spans="3:4">
      <c r="C344"/>
      <c r="D344"/>
    </row>
    <row r="345" customHeight="1" spans="3:4">
      <c r="C345"/>
      <c r="D345"/>
    </row>
    <row r="346" customHeight="1" spans="3:4">
      <c r="C346"/>
      <c r="D346"/>
    </row>
    <row r="347" customHeight="1" spans="3:4">
      <c r="C347"/>
      <c r="D347"/>
    </row>
    <row r="348" customHeight="1" spans="3:4">
      <c r="C348"/>
      <c r="D348"/>
    </row>
    <row r="349" customHeight="1" spans="3:4">
      <c r="C349"/>
      <c r="D349"/>
    </row>
    <row r="350" customHeight="1" spans="3:4">
      <c r="C350"/>
      <c r="D350"/>
    </row>
    <row r="351" customHeight="1" spans="3:4">
      <c r="C351"/>
      <c r="D351"/>
    </row>
    <row r="352" customHeight="1" spans="3:4">
      <c r="C352"/>
      <c r="D352"/>
    </row>
    <row r="353" customHeight="1" spans="3:4">
      <c r="C353"/>
      <c r="D353"/>
    </row>
    <row r="354" customHeight="1" spans="3:4">
      <c r="C354"/>
      <c r="D354"/>
    </row>
    <row r="355" customHeight="1" spans="3:4">
      <c r="C355"/>
      <c r="D355"/>
    </row>
    <row r="356" customHeight="1" spans="3:4">
      <c r="C356"/>
      <c r="D356"/>
    </row>
    <row r="357" customHeight="1" spans="3:4">
      <c r="C357"/>
      <c r="D357"/>
    </row>
    <row r="358" customHeight="1" spans="3:4">
      <c r="C358"/>
      <c r="D358"/>
    </row>
    <row r="359" customHeight="1" spans="3:4">
      <c r="C359"/>
      <c r="D359"/>
    </row>
    <row r="360" customHeight="1" spans="3:4">
      <c r="C360"/>
      <c r="D360"/>
    </row>
    <row r="361" customHeight="1" spans="3:4">
      <c r="C361"/>
      <c r="D361"/>
    </row>
    <row r="362" customHeight="1" spans="3:4">
      <c r="C362"/>
      <c r="D362"/>
    </row>
    <row r="363" customHeight="1" spans="3:4">
      <c r="C363"/>
      <c r="D363"/>
    </row>
    <row r="364" customHeight="1" spans="3:4">
      <c r="C364"/>
      <c r="D364"/>
    </row>
    <row r="365" customHeight="1" spans="3:4">
      <c r="C365"/>
      <c r="D365"/>
    </row>
    <row r="366" customHeight="1" spans="3:4">
      <c r="C366"/>
      <c r="D366"/>
    </row>
    <row r="367" customHeight="1" spans="3:4">
      <c r="C367"/>
      <c r="D367"/>
    </row>
    <row r="368" customHeight="1" spans="3:4">
      <c r="C368"/>
      <c r="D368"/>
    </row>
    <row r="369" customHeight="1" spans="3:4">
      <c r="C369"/>
      <c r="D369"/>
    </row>
    <row r="370" customHeight="1" spans="3:4">
      <c r="C370"/>
      <c r="D370"/>
    </row>
    <row r="371" customHeight="1" spans="3:4">
      <c r="C371"/>
      <c r="D371"/>
    </row>
    <row r="372" customHeight="1" spans="3:4">
      <c r="C372"/>
      <c r="D372"/>
    </row>
    <row r="373" customHeight="1" spans="3:4">
      <c r="C373"/>
      <c r="D373"/>
    </row>
    <row r="374" customHeight="1" spans="3:4">
      <c r="C374"/>
      <c r="D374"/>
    </row>
    <row r="375" customHeight="1" spans="3:4">
      <c r="C375"/>
      <c r="D375"/>
    </row>
    <row r="376" customHeight="1" spans="3:4">
      <c r="C376"/>
      <c r="D376"/>
    </row>
    <row r="377" customHeight="1" spans="3:4">
      <c r="C377"/>
      <c r="D377"/>
    </row>
    <row r="378" customHeight="1" spans="3:4">
      <c r="C378"/>
      <c r="D378"/>
    </row>
    <row r="379" customHeight="1" spans="3:4">
      <c r="C379"/>
      <c r="D379"/>
    </row>
    <row r="380" customHeight="1" spans="3:4">
      <c r="C380"/>
      <c r="D380"/>
    </row>
    <row r="381" customHeight="1" spans="3:4">
      <c r="C381"/>
      <c r="D381"/>
    </row>
    <row r="382" customHeight="1" spans="3:4">
      <c r="C382"/>
      <c r="D382"/>
    </row>
    <row r="383" customHeight="1" spans="3:4">
      <c r="C383"/>
      <c r="D383"/>
    </row>
    <row r="384" customHeight="1" spans="3:4">
      <c r="C384"/>
      <c r="D384"/>
    </row>
    <row r="385" customHeight="1" spans="3:4">
      <c r="C385"/>
      <c r="D385"/>
    </row>
    <row r="386" customHeight="1" spans="3:4">
      <c r="C386"/>
      <c r="D386"/>
    </row>
    <row r="387" customHeight="1" spans="3:4">
      <c r="C387"/>
      <c r="D387"/>
    </row>
    <row r="388" customHeight="1" spans="3:4">
      <c r="C388"/>
      <c r="D388"/>
    </row>
    <row r="389" customHeight="1" spans="3:4">
      <c r="C389"/>
      <c r="D389"/>
    </row>
    <row r="390" customHeight="1" spans="3:4">
      <c r="C390"/>
      <c r="D390"/>
    </row>
    <row r="391" customHeight="1" spans="3:4">
      <c r="C391"/>
      <c r="D391"/>
    </row>
    <row r="392" customHeight="1" spans="3:4">
      <c r="C392"/>
      <c r="D392"/>
    </row>
    <row r="393" customHeight="1" spans="3:4">
      <c r="C393"/>
      <c r="D393"/>
    </row>
    <row r="394" customHeight="1" spans="3:4">
      <c r="C394"/>
      <c r="D394"/>
    </row>
    <row r="395" customHeight="1" spans="3:4">
      <c r="C395"/>
      <c r="D395"/>
    </row>
    <row r="396" customHeight="1" spans="3:4">
      <c r="C396"/>
      <c r="D396"/>
    </row>
    <row r="397" customHeight="1" spans="3:4">
      <c r="C397"/>
      <c r="D397"/>
    </row>
    <row r="398" customHeight="1" spans="3:4">
      <c r="C398"/>
      <c r="D398"/>
    </row>
    <row r="399" customHeight="1" spans="3:4">
      <c r="C399"/>
      <c r="D399"/>
    </row>
    <row r="400" customHeight="1" spans="3:4">
      <c r="C400"/>
      <c r="D400"/>
    </row>
    <row r="401" customHeight="1" spans="3:4">
      <c r="C401"/>
      <c r="D401"/>
    </row>
    <row r="402" customHeight="1" spans="3:4">
      <c r="C402"/>
      <c r="D402"/>
    </row>
    <row r="403" customHeight="1" spans="3:4">
      <c r="C403"/>
      <c r="D403"/>
    </row>
    <row r="404" customHeight="1" spans="3:4">
      <c r="C404"/>
      <c r="D404"/>
    </row>
    <row r="405" customHeight="1" spans="3:4">
      <c r="C405"/>
      <c r="D405"/>
    </row>
    <row r="406" customHeight="1" spans="3:4">
      <c r="C406"/>
      <c r="D406"/>
    </row>
    <row r="407" customHeight="1" spans="3:4">
      <c r="C407"/>
      <c r="D407"/>
    </row>
    <row r="408" customHeight="1" spans="3:4">
      <c r="C408"/>
      <c r="D408"/>
    </row>
    <row r="409" customHeight="1" spans="3:4">
      <c r="C409"/>
      <c r="D409"/>
    </row>
    <row r="410" customHeight="1" spans="3:4">
      <c r="C410"/>
      <c r="D410"/>
    </row>
    <row r="411" customHeight="1" spans="3:4">
      <c r="C411"/>
      <c r="D411"/>
    </row>
    <row r="412" customHeight="1" spans="3:4">
      <c r="C412"/>
      <c r="D412"/>
    </row>
    <row r="413" customHeight="1" spans="3:4">
      <c r="C413"/>
      <c r="D413"/>
    </row>
    <row r="414" customHeight="1" spans="3:4">
      <c r="C414"/>
      <c r="D414"/>
    </row>
    <row r="415" customHeight="1" spans="3:4">
      <c r="C415"/>
      <c r="D415"/>
    </row>
    <row r="416" customHeight="1" spans="3:4">
      <c r="C416"/>
      <c r="D416"/>
    </row>
    <row r="417" customHeight="1" spans="3:4">
      <c r="C417"/>
      <c r="D417"/>
    </row>
    <row r="418" customHeight="1" spans="3:4">
      <c r="C418"/>
      <c r="D418"/>
    </row>
    <row r="419" customHeight="1" spans="3:4">
      <c r="C419"/>
      <c r="D419"/>
    </row>
    <row r="420" customHeight="1" spans="3:4">
      <c r="C420"/>
      <c r="D420"/>
    </row>
    <row r="421" customHeight="1" spans="3:4">
      <c r="C421"/>
      <c r="D421"/>
    </row>
    <row r="422" customHeight="1" spans="3:4">
      <c r="C422"/>
      <c r="D422"/>
    </row>
    <row r="423" customHeight="1" spans="3:4">
      <c r="C423"/>
      <c r="D423"/>
    </row>
    <row r="424" customHeight="1" spans="3:4">
      <c r="C424"/>
      <c r="D424"/>
    </row>
    <row r="425" customHeight="1" spans="3:4">
      <c r="C425"/>
      <c r="D425"/>
    </row>
    <row r="426" customHeight="1" spans="3:4">
      <c r="C426"/>
      <c r="D426"/>
    </row>
    <row r="427" customHeight="1" spans="3:4">
      <c r="C427"/>
      <c r="D427"/>
    </row>
    <row r="428" customHeight="1" spans="3:4">
      <c r="C428"/>
      <c r="D428"/>
    </row>
    <row r="429" customHeight="1" spans="3:4">
      <c r="C429"/>
      <c r="D429"/>
    </row>
    <row r="430" customHeight="1" spans="3:4">
      <c r="C430"/>
      <c r="D430"/>
    </row>
    <row r="431" customHeight="1" spans="3:4">
      <c r="C431"/>
      <c r="D431"/>
    </row>
    <row r="432" customHeight="1" spans="3:4">
      <c r="C432"/>
      <c r="D432"/>
    </row>
    <row r="433" customHeight="1" spans="3:4">
      <c r="C433"/>
      <c r="D433"/>
    </row>
    <row r="434" customHeight="1" spans="3:4">
      <c r="C434"/>
      <c r="D434"/>
    </row>
    <row r="435" customHeight="1" spans="3:4">
      <c r="C435"/>
      <c r="D435"/>
    </row>
    <row r="436" customHeight="1" spans="3:4">
      <c r="C436"/>
      <c r="D436"/>
    </row>
    <row r="437" customHeight="1" spans="3:4">
      <c r="C437"/>
      <c r="D437"/>
    </row>
    <row r="438" customHeight="1" spans="3:4">
      <c r="C438"/>
      <c r="D438"/>
    </row>
    <row r="439" customHeight="1" spans="3:4">
      <c r="C439"/>
      <c r="D439"/>
    </row>
    <row r="440" customHeight="1" spans="3:4">
      <c r="C440"/>
      <c r="D440"/>
    </row>
    <row r="441" customHeight="1" spans="3:4">
      <c r="C441"/>
      <c r="D441"/>
    </row>
    <row r="442" customHeight="1" spans="3:4">
      <c r="C442"/>
      <c r="D442"/>
    </row>
    <row r="443" customHeight="1" spans="3:4">
      <c r="C443"/>
      <c r="D443"/>
    </row>
    <row r="444" customHeight="1" spans="3:4">
      <c r="C444"/>
      <c r="D444"/>
    </row>
    <row r="445" customHeight="1" spans="3:4">
      <c r="C445"/>
      <c r="D445"/>
    </row>
    <row r="446" customHeight="1" spans="3:4">
      <c r="C446"/>
      <c r="D446"/>
    </row>
    <row r="447" customHeight="1" spans="3:4">
      <c r="C447"/>
      <c r="D447"/>
    </row>
    <row r="448" customHeight="1" spans="3:4">
      <c r="C448"/>
      <c r="D448"/>
    </row>
    <row r="449" customHeight="1" spans="3:4">
      <c r="C449"/>
      <c r="D449"/>
    </row>
    <row r="450" customHeight="1" spans="3:4">
      <c r="C450"/>
      <c r="D450"/>
    </row>
    <row r="451" customHeight="1" spans="3:4">
      <c r="C451"/>
      <c r="D451"/>
    </row>
    <row r="452" customHeight="1" spans="3:4">
      <c r="C452"/>
      <c r="D452"/>
    </row>
    <row r="453" customHeight="1" spans="3:4">
      <c r="C453"/>
      <c r="D453"/>
    </row>
    <row r="454" customHeight="1" spans="3:4">
      <c r="C454"/>
      <c r="D454"/>
    </row>
    <row r="455" customHeight="1" spans="3:4">
      <c r="C455"/>
      <c r="D455"/>
    </row>
    <row r="456" customHeight="1" spans="3:4">
      <c r="C456"/>
      <c r="D456"/>
    </row>
    <row r="457" customHeight="1" spans="3:4">
      <c r="C457"/>
      <c r="D457"/>
    </row>
    <row r="458" customHeight="1" spans="3:4">
      <c r="C458"/>
      <c r="D458"/>
    </row>
    <row r="459" customHeight="1" spans="3:4">
      <c r="C459"/>
      <c r="D459"/>
    </row>
    <row r="460" customHeight="1" spans="3:4">
      <c r="C460"/>
      <c r="D460"/>
    </row>
    <row r="461" customHeight="1" spans="3:4">
      <c r="C461"/>
      <c r="D461"/>
    </row>
    <row r="462" customHeight="1" spans="3:4">
      <c r="C462"/>
      <c r="D462"/>
    </row>
    <row r="463" customHeight="1" spans="3:4">
      <c r="C463"/>
      <c r="D463"/>
    </row>
    <row r="464" customHeight="1" spans="3:4">
      <c r="C464"/>
      <c r="D464"/>
    </row>
    <row r="465" customHeight="1" spans="3:4">
      <c r="C465"/>
      <c r="D465"/>
    </row>
    <row r="466" customHeight="1" spans="3:4">
      <c r="C466"/>
      <c r="D466"/>
    </row>
    <row r="467" customHeight="1" spans="3:4">
      <c r="C467"/>
      <c r="D467"/>
    </row>
    <row r="468" customHeight="1" spans="3:4">
      <c r="C468"/>
      <c r="D468"/>
    </row>
    <row r="469" customHeight="1" spans="3:4">
      <c r="C469"/>
      <c r="D469"/>
    </row>
    <row r="470" customHeight="1" spans="3:4">
      <c r="C470"/>
      <c r="D470"/>
    </row>
    <row r="471" customHeight="1" spans="3:4">
      <c r="C471"/>
      <c r="D471"/>
    </row>
    <row r="472" customHeight="1" spans="3:4">
      <c r="C472"/>
      <c r="D472"/>
    </row>
    <row r="473" customHeight="1" spans="3:4">
      <c r="C473"/>
      <c r="D473"/>
    </row>
    <row r="474" customHeight="1" spans="3:4">
      <c r="C474"/>
      <c r="D474"/>
    </row>
    <row r="475" customHeight="1" spans="3:4">
      <c r="C475"/>
      <c r="D475"/>
    </row>
    <row r="476" customHeight="1" spans="3:4">
      <c r="C476"/>
      <c r="D476"/>
    </row>
    <row r="477" customHeight="1" spans="3:4">
      <c r="C477"/>
      <c r="D477"/>
    </row>
    <row r="478" customHeight="1" spans="3:4">
      <c r="C478"/>
      <c r="D478"/>
    </row>
    <row r="479" customHeight="1" spans="3:4">
      <c r="C479"/>
      <c r="D479"/>
    </row>
    <row r="480" customHeight="1" spans="3:4">
      <c r="C480"/>
      <c r="D480"/>
    </row>
    <row r="481" customHeight="1" spans="3:4">
      <c r="C481"/>
      <c r="D481"/>
    </row>
    <row r="482" customHeight="1" spans="3:4">
      <c r="C482"/>
      <c r="D482"/>
    </row>
    <row r="483" customHeight="1" spans="3:4">
      <c r="C483"/>
      <c r="D483"/>
    </row>
    <row r="484" customHeight="1" spans="3:4">
      <c r="C484"/>
      <c r="D484"/>
    </row>
    <row r="485" customHeight="1" spans="3:4">
      <c r="C485"/>
      <c r="D485"/>
    </row>
    <row r="486" customHeight="1" spans="3:4">
      <c r="C486"/>
      <c r="D486"/>
    </row>
    <row r="487" customHeight="1" spans="3:4">
      <c r="C487"/>
      <c r="D487"/>
    </row>
    <row r="488" customHeight="1" spans="3:4">
      <c r="C488"/>
      <c r="D488"/>
    </row>
    <row r="489" customHeight="1" spans="3:4">
      <c r="C489"/>
      <c r="D489"/>
    </row>
    <row r="490" customHeight="1" spans="3:4">
      <c r="C490"/>
      <c r="D490"/>
    </row>
    <row r="491" customHeight="1" spans="3:4">
      <c r="C491"/>
      <c r="D491"/>
    </row>
    <row r="492" customHeight="1" spans="3:4">
      <c r="C492"/>
      <c r="D492"/>
    </row>
    <row r="493" customHeight="1" spans="3:4">
      <c r="C493"/>
      <c r="D493"/>
    </row>
    <row r="494" customHeight="1" spans="3:4">
      <c r="C494"/>
      <c r="D494"/>
    </row>
    <row r="495" customHeight="1" spans="3:4">
      <c r="C495"/>
      <c r="D495"/>
    </row>
    <row r="496" customHeight="1" spans="3:4">
      <c r="C496"/>
      <c r="D496"/>
    </row>
    <row r="497" customHeight="1" spans="3:4">
      <c r="C497"/>
      <c r="D497"/>
    </row>
    <row r="498" customHeight="1" spans="3:4">
      <c r="C498"/>
      <c r="D498"/>
    </row>
    <row r="499" customHeight="1" spans="3:4">
      <c r="C499"/>
      <c r="D499"/>
    </row>
    <row r="500" customHeight="1" spans="3:4">
      <c r="C500"/>
      <c r="D500"/>
    </row>
    <row r="501" customHeight="1" spans="3:4">
      <c r="C501"/>
      <c r="D501"/>
    </row>
    <row r="502" customHeight="1" spans="3:4">
      <c r="C502"/>
      <c r="D502"/>
    </row>
    <row r="503" customHeight="1" spans="3:4">
      <c r="C503"/>
      <c r="D503"/>
    </row>
    <row r="504" customHeight="1" spans="3:4">
      <c r="C504"/>
      <c r="D504"/>
    </row>
    <row r="505" customHeight="1" spans="3:4">
      <c r="C505"/>
      <c r="D505"/>
    </row>
    <row r="506" customHeight="1" spans="3:4">
      <c r="C506"/>
      <c r="D506"/>
    </row>
    <row r="507" customHeight="1" spans="3:4">
      <c r="C507"/>
      <c r="D507"/>
    </row>
    <row r="508" customHeight="1" spans="3:4">
      <c r="C508"/>
      <c r="D508"/>
    </row>
    <row r="509" customHeight="1" spans="3:4">
      <c r="C509"/>
      <c r="D509"/>
    </row>
    <row r="510" customHeight="1" spans="3:4">
      <c r="C510"/>
      <c r="D510"/>
    </row>
    <row r="511" customHeight="1" spans="3:4">
      <c r="C511"/>
      <c r="D511"/>
    </row>
    <row r="512" customHeight="1" spans="3:4">
      <c r="C512"/>
      <c r="D512"/>
    </row>
    <row r="513" customHeight="1" spans="3:4">
      <c r="C513"/>
      <c r="D513"/>
    </row>
    <row r="514" customHeight="1" spans="3:4">
      <c r="C514"/>
      <c r="D514"/>
    </row>
    <row r="515" customHeight="1" spans="3:4">
      <c r="C515"/>
      <c r="D515"/>
    </row>
    <row r="516" customHeight="1" spans="3:4">
      <c r="C516"/>
      <c r="D516"/>
    </row>
    <row r="517" customHeight="1" spans="3:4">
      <c r="C517"/>
      <c r="D517"/>
    </row>
    <row r="518" customHeight="1" spans="3:4">
      <c r="C518"/>
      <c r="D518"/>
    </row>
    <row r="519" customHeight="1" spans="3:4">
      <c r="C519"/>
      <c r="D519"/>
    </row>
    <row r="520" customHeight="1" spans="3:4">
      <c r="C520"/>
      <c r="D520"/>
    </row>
    <row r="521" customHeight="1" spans="3:4">
      <c r="C521"/>
      <c r="D521"/>
    </row>
    <row r="522" customHeight="1" spans="3:4">
      <c r="C522"/>
      <c r="D522"/>
    </row>
    <row r="523" customHeight="1" spans="3:4">
      <c r="C523"/>
      <c r="D523"/>
    </row>
    <row r="524" customHeight="1" spans="3:4">
      <c r="C524"/>
      <c r="D524"/>
    </row>
    <row r="525" customHeight="1" spans="3:4">
      <c r="C525"/>
      <c r="D525"/>
    </row>
    <row r="526" customHeight="1" spans="3:4">
      <c r="C526"/>
      <c r="D526"/>
    </row>
    <row r="527" customHeight="1" spans="3:4">
      <c r="C527"/>
      <c r="D527"/>
    </row>
    <row r="528" customHeight="1" spans="3:4">
      <c r="C528"/>
      <c r="D528"/>
    </row>
    <row r="529" customHeight="1" spans="3:4">
      <c r="C529"/>
      <c r="D529"/>
    </row>
    <row r="530" customHeight="1" spans="3:4">
      <c r="C530"/>
      <c r="D530"/>
    </row>
    <row r="531" customHeight="1" spans="3:4">
      <c r="C531"/>
      <c r="D531"/>
    </row>
    <row r="532" customHeight="1" spans="3:4">
      <c r="C532"/>
      <c r="D532"/>
    </row>
    <row r="533" customHeight="1" spans="3:4">
      <c r="C533"/>
      <c r="D533"/>
    </row>
    <row r="534" customHeight="1" spans="3:4">
      <c r="C534"/>
      <c r="D534"/>
    </row>
    <row r="535" customHeight="1" spans="3:4">
      <c r="C535"/>
      <c r="D535"/>
    </row>
    <row r="536" customHeight="1" spans="3:4">
      <c r="C536"/>
      <c r="D536"/>
    </row>
    <row r="537" customHeight="1" spans="3:4">
      <c r="C537"/>
      <c r="D537"/>
    </row>
    <row r="538" customHeight="1" spans="3:4">
      <c r="C538"/>
      <c r="D538"/>
    </row>
    <row r="539" customHeight="1" spans="3:4">
      <c r="C539"/>
      <c r="D539"/>
    </row>
    <row r="540" customHeight="1" spans="3:4">
      <c r="C540"/>
      <c r="D540"/>
    </row>
    <row r="541" customHeight="1" spans="3:4">
      <c r="C541"/>
      <c r="D541"/>
    </row>
    <row r="542" customHeight="1" spans="3:4">
      <c r="C542"/>
      <c r="D542"/>
    </row>
    <row r="543" customHeight="1" spans="3:4">
      <c r="C543"/>
      <c r="D543"/>
    </row>
    <row r="544" customHeight="1" spans="3:4">
      <c r="C544"/>
      <c r="D544"/>
    </row>
    <row r="545" customHeight="1" spans="3:4">
      <c r="C545"/>
      <c r="D545"/>
    </row>
    <row r="546" customHeight="1" spans="3:4">
      <c r="C546"/>
      <c r="D546"/>
    </row>
    <row r="547" customHeight="1" spans="3:4">
      <c r="C547"/>
      <c r="D547"/>
    </row>
    <row r="548" customHeight="1" spans="3:4">
      <c r="C548"/>
      <c r="D548"/>
    </row>
    <row r="549" customHeight="1" spans="3:4">
      <c r="C549"/>
      <c r="D549"/>
    </row>
    <row r="550" customHeight="1" spans="3:4">
      <c r="C550"/>
      <c r="D550"/>
    </row>
    <row r="551" customHeight="1" spans="3:4">
      <c r="C551"/>
      <c r="D551"/>
    </row>
    <row r="552" customHeight="1" spans="3:4">
      <c r="C552"/>
      <c r="D552"/>
    </row>
    <row r="553" customHeight="1" spans="3:4">
      <c r="C553"/>
      <c r="D553"/>
    </row>
    <row r="554" customHeight="1" spans="3:4">
      <c r="C554"/>
      <c r="D554"/>
    </row>
    <row r="555" customHeight="1" spans="3:4">
      <c r="C555"/>
      <c r="D555"/>
    </row>
    <row r="556" customHeight="1" spans="3:4">
      <c r="C556"/>
      <c r="D556"/>
    </row>
    <row r="557" customHeight="1" spans="3:4">
      <c r="C557"/>
      <c r="D557"/>
    </row>
    <row r="558" customHeight="1" spans="3:4">
      <c r="C558"/>
      <c r="D558"/>
    </row>
    <row r="559" customHeight="1" spans="3:4">
      <c r="C559"/>
      <c r="D559"/>
    </row>
    <row r="560" customHeight="1" spans="3:4">
      <c r="C560"/>
      <c r="D560"/>
    </row>
    <row r="561" customHeight="1" spans="3:4">
      <c r="C561"/>
      <c r="D561"/>
    </row>
    <row r="562" customHeight="1" spans="3:4">
      <c r="C562"/>
      <c r="D562"/>
    </row>
    <row r="563" customHeight="1" spans="3:4">
      <c r="C563"/>
      <c r="D563"/>
    </row>
    <row r="564" customHeight="1" spans="3:4">
      <c r="C564"/>
      <c r="D564"/>
    </row>
    <row r="565" customHeight="1" spans="3:4">
      <c r="C565"/>
      <c r="D565"/>
    </row>
    <row r="566" customHeight="1" spans="3:4">
      <c r="C566"/>
      <c r="D566"/>
    </row>
    <row r="567" customHeight="1" spans="3:4">
      <c r="C567"/>
      <c r="D567"/>
    </row>
    <row r="568" customHeight="1" spans="3:4">
      <c r="C568"/>
      <c r="D568"/>
    </row>
    <row r="569" customHeight="1" spans="3:4">
      <c r="C569"/>
      <c r="D569"/>
    </row>
    <row r="570" customHeight="1" spans="3:4">
      <c r="C570"/>
      <c r="D570"/>
    </row>
    <row r="571" customHeight="1" spans="3:4">
      <c r="C571"/>
      <c r="D571"/>
    </row>
    <row r="572" customHeight="1" spans="3:4">
      <c r="C572"/>
      <c r="D572"/>
    </row>
    <row r="573" customHeight="1" spans="3:4">
      <c r="C573"/>
      <c r="D573"/>
    </row>
    <row r="574" customHeight="1" spans="3:4">
      <c r="C574"/>
      <c r="D574"/>
    </row>
    <row r="575" customHeight="1" spans="3:4">
      <c r="C575"/>
      <c r="D575"/>
    </row>
    <row r="576" customHeight="1" spans="3:4">
      <c r="C576"/>
      <c r="D576"/>
    </row>
    <row r="577" customHeight="1" spans="3:4">
      <c r="C577"/>
      <c r="D577"/>
    </row>
    <row r="578" customHeight="1" spans="3:4">
      <c r="C578"/>
      <c r="D578"/>
    </row>
    <row r="579" customHeight="1" spans="3:4">
      <c r="C579"/>
      <c r="D579"/>
    </row>
    <row r="580" customHeight="1" spans="3:4">
      <c r="C580"/>
      <c r="D580"/>
    </row>
    <row r="581" customHeight="1" spans="3:4">
      <c r="C581"/>
      <c r="D581"/>
    </row>
    <row r="582" customHeight="1" spans="3:4">
      <c r="C582"/>
      <c r="D582"/>
    </row>
    <row r="583" customHeight="1" spans="3:4">
      <c r="C583"/>
      <c r="D583"/>
    </row>
    <row r="584" customHeight="1" spans="3:4">
      <c r="C584"/>
      <c r="D584"/>
    </row>
    <row r="585" customHeight="1" spans="3:4">
      <c r="C585"/>
      <c r="D585"/>
    </row>
    <row r="586" customHeight="1" spans="3:4">
      <c r="C586"/>
      <c r="D586"/>
    </row>
    <row r="587" customHeight="1" spans="3:4">
      <c r="C587"/>
      <c r="D587"/>
    </row>
    <row r="588" customHeight="1" spans="3:4">
      <c r="C588"/>
      <c r="D588"/>
    </row>
    <row r="589" customHeight="1" spans="3:4">
      <c r="C589"/>
      <c r="D589"/>
    </row>
    <row r="590" customHeight="1" spans="3:4">
      <c r="C590"/>
      <c r="D590"/>
    </row>
  </sheetData>
  <mergeCells count="11">
    <mergeCell ref="C1:K1"/>
    <mergeCell ref="J2:K2"/>
    <mergeCell ref="I35:J35"/>
    <mergeCell ref="C4:C5"/>
    <mergeCell ref="D4:D5"/>
    <mergeCell ref="F4:F5"/>
    <mergeCell ref="G4:G5"/>
    <mergeCell ref="I4:I5"/>
    <mergeCell ref="J4:J5"/>
    <mergeCell ref="I25:J27"/>
    <mergeCell ref="I32:J34"/>
  </mergeCells>
  <pageMargins left="0.511811024" right="0.511811024" top="0.787401575" bottom="0.787401575" header="0.31496062" footer="0.31496062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FD3D529-BCD3-4ECD-9B2A-42924892FFCB}">
  <ds:schemaRefs/>
</ds:datastoreItem>
</file>

<file path=customXml/itemProps2.xml><?xml version="1.0" encoding="utf-8"?>
<ds:datastoreItem xmlns:ds="http://schemas.openxmlformats.org/officeDocument/2006/customXml" ds:itemID="{32608D25-EC36-42FE-A1DC-F778995A6799}">
  <ds:schemaRefs/>
</ds:datastoreItem>
</file>

<file path=customXml/itemProps3.xml><?xml version="1.0" encoding="utf-8"?>
<ds:datastoreItem xmlns:ds="http://schemas.openxmlformats.org/officeDocument/2006/customXml" ds:itemID="{E3B4D9D5-B351-46EB-A728-C3362FE437D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Aline Santos Almeida</cp:lastModifiedBy>
  <dcterms:created xsi:type="dcterms:W3CDTF">2024-12-19T13:13:00Z</dcterms:created>
  <dcterms:modified xsi:type="dcterms:W3CDTF">2026-10-19T17:27:40Z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ICV">
    <vt:lpwstr>45FEABEABE8C4974842161DDAD00EEA2_12</vt:lpwstr>
  </property>
  <property fmtid="{D5CDD505-2E9C-101B-9397-08002B2CF9AE}" pid="4" name="KSOProductBuildVer">
    <vt:lpwstr>1046-12.1.0.29162</vt:lpwstr>
  </property>
  <property fmtid="{D5CDD505-2E9C-101B-9397-08002B2CF9AE}" pid="5" name="CalculationRule">
    <vt:i4>0</vt:i4>
  </property>
</Properties>
</file>